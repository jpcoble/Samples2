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xml" ContentType="application/vnd.openxmlformats-officedocument.spreadsheetml.comments+xml"/>
  <Override PartName="/xl/drawings/drawing17.xml" ContentType="application/vnd.openxmlformats-officedocument.drawing+xml"/>
  <Override PartName="/xl/ctrlProps/ctrlProp56.xml" ContentType="application/vnd.ms-excel.controlproperties+xml"/>
  <Override PartName="/xl/drawings/drawing18.xml" ContentType="application/vnd.openxmlformats-officedocument.drawing+xml"/>
  <Override PartName="/xl/ctrlProps/ctrlProp57.xml" ContentType="application/vnd.ms-excel.controlproperties+xml"/>
  <Override PartName="/xl/comments2.xml" ContentType="application/vnd.openxmlformats-officedocument.spreadsheetml.comments+xml"/>
  <Override PartName="/xl/drawings/drawing19.xml" ContentType="application/vnd.openxmlformats-officedocument.drawing+xml"/>
  <Override PartName="/xl/ctrlProps/ctrlProp58.xml" ContentType="application/vnd.ms-excel.controlproperties+xml"/>
  <Override PartName="/xl/drawings/drawing20.xml" ContentType="application/vnd.openxmlformats-officedocument.drawing+xml"/>
  <Override PartName="/xl/ctrlProps/ctrlProp59.xml" ContentType="application/vnd.ms-excel.controlproperties+xml"/>
  <Override PartName="/xl/drawings/drawing21.xml" ContentType="application/vnd.openxmlformats-officedocument.drawing+xml"/>
  <Override PartName="/xl/ctrlProps/ctrlProp60.xml" ContentType="application/vnd.ms-excel.controlproperties+xml"/>
  <Override PartName="/xl/drawings/drawing22.xml" ContentType="application/vnd.openxmlformats-officedocument.drawing+xml"/>
  <Override PartName="/xl/ctrlProps/ctrlProp61.xml" ContentType="application/vnd.ms-excel.controlproperties+xml"/>
  <Override PartName="/xl/drawings/drawing23.xml" ContentType="application/vnd.openxmlformats-officedocument.drawing+xml"/>
  <Override PartName="/xl/ctrlProps/ctrlProp62.xml" ContentType="application/vnd.ms-excel.controlproperties+xml"/>
  <Override PartName="/xl/drawings/drawing24.xml" ContentType="application/vnd.openxmlformats-officedocument.drawing+xml"/>
  <Override PartName="/xl/ctrlProps/ctrlProp63.xml" ContentType="application/vnd.ms-excel.controlproperties+xml"/>
  <Override PartName="/xl/drawings/drawing25.xml" ContentType="application/vnd.openxmlformats-officedocument.drawing+xml"/>
  <Override PartName="/xl/ctrlProps/ctrlProp64.xml" ContentType="application/vnd.ms-excel.controlproperties+xml"/>
  <Override PartName="/xl/drawings/drawing26.xml" ContentType="application/vnd.openxmlformats-officedocument.drawing+xml"/>
  <Override PartName="/xl/ctrlProps/ctrlProp65.xml" ContentType="application/vnd.ms-excel.controlproperties+xml"/>
  <Override PartName="/xl/drawings/drawing27.xml" ContentType="application/vnd.openxmlformats-officedocument.drawing+xml"/>
  <Override PartName="/xl/ctrlProps/ctrlProp66.xml" ContentType="application/vnd.ms-excel.controlproperties+xml"/>
  <Override PartName="/xl/drawings/drawing28.xml" ContentType="application/vnd.openxmlformats-officedocument.drawing+xml"/>
  <Override PartName="/xl/ctrlProps/ctrlProp67.xml" ContentType="application/vnd.ms-excel.controlproperties+xml"/>
  <Override PartName="/xl/drawings/drawing29.xml" ContentType="application/vnd.openxmlformats-officedocument.drawing+xml"/>
  <Override PartName="/xl/ctrlProps/ctrlProp68.xml" ContentType="application/vnd.ms-excel.controlproperties+xml"/>
  <Override PartName="/xl/drawings/drawing30.xml" ContentType="application/vnd.openxmlformats-officedocument.drawing+xml"/>
  <Override PartName="/xl/ctrlProps/ctrlProp69.xml" ContentType="application/vnd.ms-excel.controlproperties+xml"/>
  <Override PartName="/xl/drawings/drawing31.xml" ContentType="application/vnd.openxmlformats-officedocument.drawing+xml"/>
  <Override PartName="/xl/ctrlProps/ctrlProp70.xml" ContentType="application/vnd.ms-excel.controlproperties+xml"/>
  <Override PartName="/xl/drawings/drawing32.xml" ContentType="application/vnd.openxmlformats-officedocument.drawing+xml"/>
  <Override PartName="/xl/ctrlProps/ctrlProp71.xml" ContentType="application/vnd.ms-excel.controlproperties+xml"/>
  <Override PartName="/xl/drawings/drawing33.xml" ContentType="application/vnd.openxmlformats-officedocument.drawing+xml"/>
  <Override PartName="/xl/ctrlProps/ctrlProp72.xml" ContentType="application/vnd.ms-excel.controlproperties+xml"/>
  <Override PartName="/xl/drawings/drawing34.xml" ContentType="application/vnd.openxmlformats-officedocument.drawing+xml"/>
  <Override PartName="/xl/ctrlProps/ctrlProp73.xml" ContentType="application/vnd.ms-excel.controlproperties+xml"/>
  <Override PartName="/xl/comments3.xml" ContentType="application/vnd.openxmlformats-officedocument.spreadsheetml.comments+xml"/>
  <Override PartName="/xl/drawings/drawing35.xml" ContentType="application/vnd.openxmlformats-officedocument.drawing+xml"/>
  <Override PartName="/xl/ctrlProps/ctrlProp74.xml" ContentType="application/vnd.ms-excel.controlproperties+xml"/>
  <Override PartName="/xl/drawings/drawing36.xml" ContentType="application/vnd.openxmlformats-officedocument.drawing+xml"/>
  <Override PartName="/xl/ctrlProps/ctrlProp75.xml" ContentType="application/vnd.ms-excel.controlproperties+xml"/>
  <Override PartName="/xl/drawings/drawing37.xml" ContentType="application/vnd.openxmlformats-officedocument.drawing+xml"/>
  <Override PartName="/xl/ctrlProps/ctrlProp76.xml" ContentType="application/vnd.ms-excel.controlproperties+xml"/>
  <Override PartName="/xl/comments4.xml" ContentType="application/vnd.openxmlformats-officedocument.spreadsheetml.comments+xml"/>
  <Override PartName="/xl/drawings/drawing38.xml" ContentType="application/vnd.openxmlformats-officedocument.drawing+xml"/>
  <Override PartName="/xl/ctrlProps/ctrlProp77.xml" ContentType="application/vnd.ms-excel.controlproperties+xml"/>
  <Override PartName="/xl/drawings/drawing39.xml" ContentType="application/vnd.openxmlformats-officedocument.drawing+xml"/>
  <Override PartName="/xl/ctrlProps/ctrlProp7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codeName="ThisWorkbook" defaultThemeVersion="124226"/>
  <bookViews>
    <workbookView xWindow="240" yWindow="105" windowWidth="14805" windowHeight="8010" firstSheet="30" activeTab="35"/>
  </bookViews>
  <sheets>
    <sheet name="VehiclesOutput" sheetId="108" r:id="rId1"/>
    <sheet name="VehicleLoansOutput" sheetId="107" r:id="rId2"/>
    <sheet name="TaxesOutput" sheetId="106" r:id="rId3"/>
    <sheet name="SecuredCreditorOutputs" sheetId="105" r:id="rId4"/>
    <sheet name="Rent2OwnOutputs" sheetId="104" r:id="rId5"/>
    <sheet name="RealPropertyOutputs" sheetId="103" r:id="rId6"/>
    <sheet name="PersonalPropertyOutputs" sheetId="102" r:id="rId7"/>
    <sheet name="MiscOutput" sheetId="101" r:id="rId8"/>
    <sheet name="MarketingOutputs" sheetId="100" r:id="rId9"/>
    <sheet name="IncomeOutputs" sheetId="99" r:id="rId10"/>
    <sheet name="HousePmtsOutput" sheetId="98" r:id="rId11"/>
    <sheet name="HouseholdGoodsOutputs" sheetId="97" r:id="rId12"/>
    <sheet name="ExpensesOutput" sheetId="96" r:id="rId13"/>
    <sheet name="EmergenciesOutput" sheetId="95" r:id="rId14"/>
    <sheet name="DebtSummaryOutput" sheetId="94" r:id="rId15"/>
    <sheet name="BasicOutput" sheetId="93" r:id="rId16"/>
    <sheet name="BankAccountsOutput" sheetId="92" r:id="rId17"/>
    <sheet name="AnalysisMenu" sheetId="1" r:id="rId18"/>
    <sheet name="Basic" sheetId="69" r:id="rId19"/>
    <sheet name="Alerts" sheetId="2" r:id="rId20"/>
    <sheet name="Arrears" sheetId="3" r:id="rId21"/>
    <sheet name="BackTaxes" sheetId="4" r:id="rId22"/>
    <sheet name="Emergencies" sheetId="68" r:id="rId23"/>
    <sheet name="DebtSummary" sheetId="71" r:id="rId24"/>
    <sheet name="Misc" sheetId="67" r:id="rId25"/>
    <sheet name="Income" sheetId="5" r:id="rId26"/>
    <sheet name="Expenses" sheetId="6" r:id="rId27"/>
    <sheet name="Marketing" sheetId="7" r:id="rId28"/>
    <sheet name="NonDischarge" sheetId="8" r:id="rId29"/>
    <sheet name="Unsecured" sheetId="12" r:id="rId30"/>
    <sheet name="Vehicles" sheetId="11" r:id="rId31"/>
    <sheet name="RealProperty" sheetId="10" r:id="rId32"/>
    <sheet name="Equity" sheetId="9" r:id="rId33"/>
    <sheet name="NonVehicleSecured" sheetId="127" r:id="rId34"/>
    <sheet name="Rent2Own" sheetId="70" r:id="rId35"/>
    <sheet name="ThirteenAnalysis" sheetId="13" r:id="rId36"/>
    <sheet name="Notes" sheetId="126" r:id="rId37"/>
    <sheet name="MeansTest" sheetId="14" r:id="rId38"/>
    <sheet name="Accounting" sheetId="15" r:id="rId39"/>
    <sheet name="JohnsInput" sheetId="16" r:id="rId40"/>
    <sheet name="Tables" sheetId="17" r:id="rId41"/>
  </sheets>
  <definedNames>
    <definedName name="BankAccountsOutput" localSheetId="16">BankAccountsOutput!$A$1:$C$5</definedName>
    <definedName name="BankAccountsOutput" localSheetId="15">BankAccountsOutput!$A$1:$C$5</definedName>
    <definedName name="BankAccountsOutput" localSheetId="14">BankAccountsOutput!$A$1:$C$5</definedName>
    <definedName name="BankAccountsOutput" localSheetId="13">BankAccountsOutput!$A$1:$C$5</definedName>
    <definedName name="BankAccountsOutput" localSheetId="12">BankAccountsOutput!$A$1:$C$5</definedName>
    <definedName name="BankAccountsOutput" localSheetId="11">BankAccountsOutput!$A$1:$C$5</definedName>
    <definedName name="BankAccountsOutput" localSheetId="10">BankAccountsOutput!$A$1:$C$5</definedName>
    <definedName name="BankAccountsOutput" localSheetId="9">BankAccountsOutput!$A$1:$C$5</definedName>
    <definedName name="BankAccountsOutput" localSheetId="8">BankAccountsOutput!$A$1:$C$5</definedName>
    <definedName name="BankAccountsOutput" localSheetId="7">BankAccountsOutput!$A$1:$C$5</definedName>
    <definedName name="BankAccountsOutput" localSheetId="6">BankAccountsOutput!$A$1:$C$5</definedName>
    <definedName name="BankAccountsOutput" localSheetId="5">BankAccountsOutput!$A$1:$C$5</definedName>
    <definedName name="BankAccountsOutput" localSheetId="4">BankAccountsOutput!$A$1:$C$5</definedName>
    <definedName name="BankAccountsOutput" localSheetId="3">BankAccountsOutput!$A$1:$C$5</definedName>
    <definedName name="BankAccountsOutput" localSheetId="2">BankAccountsOutput!$A$1:$C$5</definedName>
    <definedName name="BankAccountsOutput" localSheetId="1">BankAccountsOutput!$A$1:$C$5</definedName>
    <definedName name="BankAccountsOutput" localSheetId="0">BankAccountsOutput!$A$1:$C$5</definedName>
    <definedName name="BankAccountsOutput">#REF!</definedName>
    <definedName name="BasicOutput" localSheetId="15">BasicOutput!$A$1:$AH$2</definedName>
    <definedName name="BasicOutput" localSheetId="14">BasicOutput!$A$1:$AH$2</definedName>
    <definedName name="BasicOutput" localSheetId="13">BasicOutput!$A$1:$AH$2</definedName>
    <definedName name="BasicOutput" localSheetId="12">BasicOutput!$A$1:$AH$2</definedName>
    <definedName name="BasicOutput" localSheetId="11">BasicOutput!$A$1:$AH$2</definedName>
    <definedName name="BasicOutput" localSheetId="10">BasicOutput!$A$1:$AH$2</definedName>
    <definedName name="BasicOutput" localSheetId="9">BasicOutput!$A$1:$AH$2</definedName>
    <definedName name="BasicOutput" localSheetId="8">BasicOutput!$A$1:$AH$2</definedName>
    <definedName name="BasicOutput" localSheetId="7">BasicOutput!$A$1:$AH$2</definedName>
    <definedName name="BasicOutput" localSheetId="6">BasicOutput!$A$1:$AH$2</definedName>
    <definedName name="BasicOutput" localSheetId="5">BasicOutput!$A$1:$AH$2</definedName>
    <definedName name="BasicOutput" localSheetId="4">BasicOutput!$A$1:$AH$2</definedName>
    <definedName name="BasicOutput" localSheetId="3">BasicOutput!$A$1:$AH$2</definedName>
    <definedName name="BasicOutput" localSheetId="2">BasicOutput!$A$1:$AH$2</definedName>
    <definedName name="BasicOutput" localSheetId="1">BasicOutput!$A$1:$AH$2</definedName>
    <definedName name="BasicOutput" localSheetId="0">BasicOutput!$A$1:$AH$2</definedName>
    <definedName name="BasicOutput">#REF!</definedName>
    <definedName name="DebtSummaryOutput" localSheetId="14">DebtSummaryOutput!$A$1:$J$3</definedName>
    <definedName name="DebtSummaryOutput" localSheetId="13">DebtSummaryOutput!$A$1:$J$3</definedName>
    <definedName name="DebtSummaryOutput" localSheetId="12">DebtSummaryOutput!$A$1:$J$3</definedName>
    <definedName name="DebtSummaryOutput" localSheetId="11">DebtSummaryOutput!$A$1:$J$3</definedName>
    <definedName name="DebtSummaryOutput" localSheetId="10">DebtSummaryOutput!$A$1:$J$3</definedName>
    <definedName name="DebtSummaryOutput" localSheetId="9">DebtSummaryOutput!$A$1:$J$3</definedName>
    <definedName name="DebtSummaryOutput" localSheetId="8">DebtSummaryOutput!$A$1:$J$3</definedName>
    <definedName name="DebtSummaryOutput" localSheetId="7">DebtSummaryOutput!$A$1:$J$3</definedName>
    <definedName name="DebtSummaryOutput" localSheetId="6">DebtSummaryOutput!$A$1:$J$3</definedName>
    <definedName name="DebtSummaryOutput" localSheetId="5">DebtSummaryOutput!$A$1:$J$3</definedName>
    <definedName name="DebtSummaryOutput" localSheetId="4">DebtSummaryOutput!$A$1:$J$3</definedName>
    <definedName name="DebtSummaryOutput" localSheetId="3">DebtSummaryOutput!$A$1:$J$3</definedName>
    <definedName name="DebtSummaryOutput" localSheetId="2">DebtSummaryOutput!$A$1:$J$3</definedName>
    <definedName name="DebtSummaryOutput" localSheetId="1">DebtSummaryOutput!$A$1:$J$3</definedName>
    <definedName name="DebtSummaryOutput" localSheetId="0">DebtSummaryOutput!$A$1:$J$3</definedName>
    <definedName name="DebtSummaryOutput">#REF!</definedName>
    <definedName name="EmergenciesOutput" localSheetId="13">EmergenciesOutput!$A$1:$I$3</definedName>
    <definedName name="EmergenciesOutput" localSheetId="12">EmergenciesOutput!$A$1:$I$3</definedName>
    <definedName name="EmergenciesOutput" localSheetId="11">EmergenciesOutput!$A$1:$I$3</definedName>
    <definedName name="EmergenciesOutput" localSheetId="10">EmergenciesOutput!$A$1:$I$3</definedName>
    <definedName name="EmergenciesOutput" localSheetId="9">EmergenciesOutput!$A$1:$I$3</definedName>
    <definedName name="EmergenciesOutput" localSheetId="8">EmergenciesOutput!$A$1:$I$3</definedName>
    <definedName name="EmergenciesOutput" localSheetId="7">EmergenciesOutput!$A$1:$I$3</definedName>
    <definedName name="EmergenciesOutput" localSheetId="6">EmergenciesOutput!$A$1:$I$3</definedName>
    <definedName name="EmergenciesOutput" localSheetId="5">EmergenciesOutput!$A$1:$I$3</definedName>
    <definedName name="EmergenciesOutput" localSheetId="4">EmergenciesOutput!$A$1:$I$3</definedName>
    <definedName name="EmergenciesOutput" localSheetId="3">EmergenciesOutput!$A$1:$I$3</definedName>
    <definedName name="EmergenciesOutput" localSheetId="2">EmergenciesOutput!$A$1:$I$3</definedName>
    <definedName name="EmergenciesOutput" localSheetId="1">EmergenciesOutput!$A$1:$I$3</definedName>
    <definedName name="EmergenciesOutput" localSheetId="0">EmergenciesOutput!$A$1:$I$3</definedName>
    <definedName name="EmergenciesOutput">#REF!</definedName>
    <definedName name="ExpensesOutput" localSheetId="12">ExpensesOutput!$A$1:$AE$3</definedName>
    <definedName name="ExpensesOutput" localSheetId="11">ExpensesOutput!$A$1:$AE$3</definedName>
    <definedName name="ExpensesOutput" localSheetId="10">ExpensesOutput!$A$1:$AE$3</definedName>
    <definedName name="ExpensesOutput" localSheetId="9">ExpensesOutput!$A$1:$AE$3</definedName>
    <definedName name="ExpensesOutput" localSheetId="8">ExpensesOutput!$A$1:$AE$3</definedName>
    <definedName name="ExpensesOutput" localSheetId="7">ExpensesOutput!$A$1:$AE$3</definedName>
    <definedName name="ExpensesOutput" localSheetId="6">ExpensesOutput!$A$1:$AE$3</definedName>
    <definedName name="ExpensesOutput" localSheetId="5">ExpensesOutput!$A$1:$AE$3</definedName>
    <definedName name="ExpensesOutput" localSheetId="4">ExpensesOutput!$A$1:$AE$3</definedName>
    <definedName name="ExpensesOutput" localSheetId="3">ExpensesOutput!$A$1:$AE$3</definedName>
    <definedName name="ExpensesOutput" localSheetId="2">ExpensesOutput!$A$1:$AE$3</definedName>
    <definedName name="ExpensesOutput" localSheetId="1">ExpensesOutput!$A$1:$AE$3</definedName>
    <definedName name="ExpensesOutput" localSheetId="0">ExpensesOutput!$A$1:$AE$3</definedName>
    <definedName name="ExpensesOutput">#REF!</definedName>
    <definedName name="HouseholdGoodsOutputs" localSheetId="11">HouseholdGoodsOutputs!$A$1:$C$6</definedName>
    <definedName name="HouseholdGoodsOutputs" localSheetId="10">HouseholdGoodsOutputs!$A$1:$C$6</definedName>
    <definedName name="HouseholdGoodsOutputs" localSheetId="9">HouseholdGoodsOutputs!$A$1:$C$6</definedName>
    <definedName name="HouseholdGoodsOutputs" localSheetId="8">HouseholdGoodsOutputs!$A$1:$C$6</definedName>
    <definedName name="HouseholdGoodsOutputs" localSheetId="7">HouseholdGoodsOutputs!$A$1:$C$6</definedName>
    <definedName name="HouseholdGoodsOutputs" localSheetId="6">HouseholdGoodsOutputs!$A$1:$C$6</definedName>
    <definedName name="HouseholdGoodsOutputs" localSheetId="5">HouseholdGoodsOutputs!$A$1:$C$6</definedName>
    <definedName name="HouseholdGoodsOutputs" localSheetId="4">HouseholdGoodsOutputs!$A$1:$C$6</definedName>
    <definedName name="HouseholdGoodsOutputs" localSheetId="3">HouseholdGoodsOutputs!$A$1:$C$6</definedName>
    <definedName name="HouseholdGoodsOutputs" localSheetId="2">HouseholdGoodsOutputs!$A$1:$C$6</definedName>
    <definedName name="HouseholdGoodsOutputs" localSheetId="1">HouseholdGoodsOutputs!$A$1:$C$6</definedName>
    <definedName name="HouseholdGoodsOutputs" localSheetId="0">HouseholdGoodsOutputs!$A$1:$C$6</definedName>
    <definedName name="HouseholdGoodsOutputs">#REF!</definedName>
    <definedName name="HousePmtsOutput" localSheetId="10">HousePmtsOutput!$A$1:$L$4</definedName>
    <definedName name="HousePmtsOutput" localSheetId="9">HousePmtsOutput!$A$1:$L$4</definedName>
    <definedName name="HousePmtsOutput" localSheetId="8">HousePmtsOutput!$A$1:$L$4</definedName>
    <definedName name="HousePmtsOutput" localSheetId="7">HousePmtsOutput!$A$1:$L$4</definedName>
    <definedName name="HousePmtsOutput" localSheetId="6">HousePmtsOutput!$A$1:$L$4</definedName>
    <definedName name="HousePmtsOutput" localSheetId="5">HousePmtsOutput!$A$1:$L$4</definedName>
    <definedName name="HousePmtsOutput" localSheetId="4">HousePmtsOutput!$A$1:$L$4</definedName>
    <definedName name="HousePmtsOutput" localSheetId="3">HousePmtsOutput!$A$1:$L$4</definedName>
    <definedName name="HousePmtsOutput" localSheetId="2">HousePmtsOutput!$A$1:$L$4</definedName>
    <definedName name="HousePmtsOutput" localSheetId="1">HousePmtsOutput!$A$1:$L$4</definedName>
    <definedName name="HousePmtsOutput" localSheetId="0">HousePmtsOutput!$A$1:$L$4</definedName>
    <definedName name="HousePmtsOutput">#REF!</definedName>
    <definedName name="IncomeOutputs" localSheetId="9">IncomeOutputs!$A$1:$AP$3</definedName>
    <definedName name="IncomeOutputs" localSheetId="8">IncomeOutputs!$A$1:$AP$3</definedName>
    <definedName name="IncomeOutputs" localSheetId="7">IncomeOutputs!$A$1:$AP$3</definedName>
    <definedName name="IncomeOutputs" localSheetId="6">IncomeOutputs!$A$1:$AP$3</definedName>
    <definedName name="IncomeOutputs" localSheetId="5">IncomeOutputs!$A$1:$AP$3</definedName>
    <definedName name="IncomeOutputs" localSheetId="4">IncomeOutputs!$A$1:$AP$3</definedName>
    <definedName name="IncomeOutputs" localSheetId="3">IncomeOutputs!$A$1:$AP$3</definedName>
    <definedName name="IncomeOutputs" localSheetId="2">IncomeOutputs!$A$1:$AP$3</definedName>
    <definedName name="IncomeOutputs" localSheetId="1">IncomeOutputs!$A$1:$AP$3</definedName>
    <definedName name="IncomeOutputs" localSheetId="0">IncomeOutputs!$A$1:$AP$3</definedName>
    <definedName name="IncomeOutputs">#REF!</definedName>
    <definedName name="MarketingOutputs" localSheetId="8">MarketingOutputs!$A$1:$F$3</definedName>
    <definedName name="MarketingOutputs" localSheetId="7">MarketingOutputs!$A$1:$F$3</definedName>
    <definedName name="MarketingOutputs" localSheetId="6">MarketingOutputs!$A$1:$F$3</definedName>
    <definedName name="MarketingOutputs" localSheetId="5">MarketingOutputs!$A$1:$F$3</definedName>
    <definedName name="MarketingOutputs" localSheetId="4">MarketingOutputs!$A$1:$F$3</definedName>
    <definedName name="MarketingOutputs" localSheetId="3">MarketingOutputs!$A$1:$F$3</definedName>
    <definedName name="MarketingOutputs" localSheetId="2">MarketingOutputs!$A$1:$F$3</definedName>
    <definedName name="MarketingOutputs" localSheetId="1">MarketingOutputs!$A$1:$F$3</definedName>
    <definedName name="MarketingOutputs" localSheetId="0">MarketingOutputs!$A$1:$F$3</definedName>
    <definedName name="MarketingOutputs">#REF!</definedName>
    <definedName name="MiscOutput" localSheetId="7">MiscOutput!$A$1:$E$3</definedName>
    <definedName name="MiscOutput" localSheetId="6">MiscOutput!$A$1:$E$3</definedName>
    <definedName name="MiscOutput" localSheetId="5">MiscOutput!$A$1:$E$3</definedName>
    <definedName name="MiscOutput" localSheetId="4">MiscOutput!$A$1:$E$3</definedName>
    <definedName name="MiscOutput" localSheetId="3">MiscOutput!$A$1:$E$3</definedName>
    <definedName name="MiscOutput" localSheetId="2">MiscOutput!$A$1:$E$3</definedName>
    <definedName name="MiscOutput" localSheetId="1">MiscOutput!$A$1:$E$3</definedName>
    <definedName name="MiscOutput" localSheetId="0">MiscOutput!$A$1:$E$3</definedName>
    <definedName name="MiscOutput">#REF!</definedName>
    <definedName name="PersonalPropertyOutputs" localSheetId="6">PersonalPropertyOutputs!$A$1:$AE$3</definedName>
    <definedName name="PersonalPropertyOutputs" localSheetId="5">PersonalPropertyOutputs!$A$1:$AE$3</definedName>
    <definedName name="PersonalPropertyOutputs" localSheetId="4">PersonalPropertyOutputs!$A$1:$AE$3</definedName>
    <definedName name="PersonalPropertyOutputs" localSheetId="3">PersonalPropertyOutputs!$A$1:$AE$3</definedName>
    <definedName name="PersonalPropertyOutputs" localSheetId="2">PersonalPropertyOutputs!$A$1:$AE$3</definedName>
    <definedName name="PersonalPropertyOutputs" localSheetId="1">PersonalPropertyOutputs!$A$1:$AE$3</definedName>
    <definedName name="PersonalPropertyOutputs" localSheetId="0">PersonalPropertyOutputs!$A$1:$AE$3</definedName>
    <definedName name="PersonalPropertyOutputs">#REF!</definedName>
    <definedName name="Race">JohnsInput!$J$3:$J$8</definedName>
    <definedName name="Race2">JohnsInput!$J$3:$J$8</definedName>
    <definedName name="RealPropertyOutputs" localSheetId="5">RealPropertyOutputs!$A$1:$M$5</definedName>
    <definedName name="RealPropertyOutputs" localSheetId="4">RealPropertyOutputs!$A$1:$M$5</definedName>
    <definedName name="RealPropertyOutputs" localSheetId="3">RealPropertyOutputs!$A$1:$M$5</definedName>
    <definedName name="RealPropertyOutputs" localSheetId="2">RealPropertyOutputs!$A$1:$M$5</definedName>
    <definedName name="RealPropertyOutputs" localSheetId="1">RealPropertyOutputs!$A$1:$M$5</definedName>
    <definedName name="RealPropertyOutputs" localSheetId="0">RealPropertyOutputs!$A$1:$M$5</definedName>
    <definedName name="RealPropertyOutputs">#REF!</definedName>
    <definedName name="Rent2OwnOutputs" localSheetId="4">Rent2OwnOutputs!$A$1:$G$4</definedName>
    <definedName name="Rent2OwnOutputs" localSheetId="3">Rent2OwnOutputs!$A$1:$G$4</definedName>
    <definedName name="Rent2OwnOutputs" localSheetId="2">Rent2OwnOutputs!$A$1:$G$4</definedName>
    <definedName name="Rent2OwnOutputs" localSheetId="1">Rent2OwnOutputs!$A$1:$G$4</definedName>
    <definedName name="Rent2OwnOutputs" localSheetId="0">Rent2OwnOutputs!$A$1:$G$4</definedName>
    <definedName name="Rent2OwnOutputs">#REF!</definedName>
    <definedName name="SecuredCreditorOutputs" localSheetId="3">SecuredCreditorOutputs!$A$1:$J$4</definedName>
    <definedName name="SecuredCreditorOutputs" localSheetId="2">SecuredCreditorOutputs!$A$1:$J$4</definedName>
    <definedName name="SecuredCreditorOutputs" localSheetId="1">SecuredCreditorOutputs!$A$1:$J$4</definedName>
    <definedName name="SecuredCreditorOutputs" localSheetId="0">SecuredCreditorOutputs!$A$1:$J$4</definedName>
    <definedName name="SecuredCreditorOutputs">#REF!</definedName>
    <definedName name="TaxesOutput" localSheetId="2">TaxesOutput!$A$1:$AC$2</definedName>
    <definedName name="TaxesOutput" localSheetId="1">TaxesOutput!$A$1:$AC$2</definedName>
    <definedName name="TaxesOutput" localSheetId="0">TaxesOutput!$A$1:$AC$2</definedName>
    <definedName name="TaxesOutput">#REF!</definedName>
    <definedName name="Transporter">Accounting!$A$105:$AK$106</definedName>
    <definedName name="VehicleLoansOutput" localSheetId="1">VehicleLoansOutput!$A$1:$K$4</definedName>
    <definedName name="VehicleLoansOutput" localSheetId="0">VehicleLoansOutput!$A$1:$K$4</definedName>
    <definedName name="VehicleLoansOutput">#REF!</definedName>
    <definedName name="VehiclesOutput" localSheetId="0">VehiclesOutput!$A$1:$G$5</definedName>
    <definedName name="VehiclesOutput">#REF!</definedName>
  </definedNames>
  <calcPr calcId="152511"/>
</workbook>
</file>

<file path=xl/calcChain.xml><?xml version="1.0" encoding="utf-8"?>
<calcChain xmlns="http://schemas.openxmlformats.org/spreadsheetml/2006/main">
  <c r="K25" i="4" l="1"/>
  <c r="K24" i="4"/>
  <c r="K23" i="4"/>
  <c r="K22" i="4"/>
  <c r="K21" i="4"/>
  <c r="K20" i="4"/>
  <c r="K19" i="4"/>
  <c r="K18" i="4"/>
  <c r="K17" i="4"/>
  <c r="K16" i="4"/>
  <c r="K15" i="4"/>
  <c r="K14" i="4"/>
  <c r="K13" i="4"/>
  <c r="K12" i="4"/>
  <c r="I33" i="14"/>
  <c r="E15" i="5"/>
  <c r="E12" i="5"/>
  <c r="A20" i="16"/>
  <c r="U142" i="15" l="1"/>
  <c r="U141" i="15"/>
  <c r="U140" i="15"/>
  <c r="U139" i="15"/>
  <c r="U138" i="15"/>
  <c r="U137" i="15"/>
  <c r="U136" i="15"/>
  <c r="U135" i="15"/>
  <c r="U134" i="15"/>
  <c r="U133" i="15"/>
  <c r="U132" i="15"/>
  <c r="U131" i="15"/>
  <c r="U130" i="15"/>
  <c r="U129" i="15"/>
  <c r="U128" i="15"/>
  <c r="U127" i="15"/>
  <c r="U126" i="15"/>
  <c r="U125" i="15"/>
  <c r="U124" i="15"/>
  <c r="U123" i="15"/>
  <c r="P142" i="15"/>
  <c r="Q142" i="15" s="1"/>
  <c r="Q141" i="15"/>
  <c r="P141" i="15"/>
  <c r="P140" i="15"/>
  <c r="Q140" i="15" s="1"/>
  <c r="Q139" i="15"/>
  <c r="P139" i="15"/>
  <c r="P138" i="15"/>
  <c r="Q138" i="15" s="1"/>
  <c r="Q137" i="15"/>
  <c r="P137" i="15"/>
  <c r="P136" i="15"/>
  <c r="Q136" i="15" s="1"/>
  <c r="Q135" i="15"/>
  <c r="P135" i="15"/>
  <c r="P134" i="15"/>
  <c r="Q134" i="15" s="1"/>
  <c r="Q133" i="15"/>
  <c r="P133" i="15"/>
  <c r="P132" i="15"/>
  <c r="Q132" i="15" s="1"/>
  <c r="Q131" i="15"/>
  <c r="P131" i="15"/>
  <c r="P130" i="15"/>
  <c r="Q130" i="15" s="1"/>
  <c r="Q129" i="15"/>
  <c r="P129" i="15"/>
  <c r="P128" i="15"/>
  <c r="Q128" i="15" s="1"/>
  <c r="Q127" i="15"/>
  <c r="P127" i="15"/>
  <c r="P126" i="15"/>
  <c r="Q126" i="15" s="1"/>
  <c r="Q125" i="15"/>
  <c r="P125" i="15"/>
  <c r="P124" i="15"/>
  <c r="Q124" i="15" s="1"/>
  <c r="Q123" i="15"/>
  <c r="P123" i="15"/>
  <c r="Q122" i="15"/>
  <c r="P122" i="15"/>
  <c r="U122" i="15" s="1"/>
  <c r="K122" i="15"/>
  <c r="M122" i="15"/>
  <c r="N122" i="15"/>
  <c r="O122" i="15"/>
  <c r="S122" i="15"/>
  <c r="K123" i="15"/>
  <c r="M123" i="15"/>
  <c r="N123" i="15"/>
  <c r="O123" i="15"/>
  <c r="S123" i="15"/>
  <c r="K124" i="15"/>
  <c r="M124" i="15"/>
  <c r="N124" i="15"/>
  <c r="O124" i="15"/>
  <c r="S124" i="15"/>
  <c r="K125" i="15"/>
  <c r="M125" i="15"/>
  <c r="N125" i="15"/>
  <c r="O125" i="15"/>
  <c r="S125" i="15"/>
  <c r="K126" i="15"/>
  <c r="M126" i="15"/>
  <c r="N126" i="15"/>
  <c r="O126" i="15"/>
  <c r="S126" i="15"/>
  <c r="K127" i="15"/>
  <c r="M127" i="15"/>
  <c r="N127" i="15"/>
  <c r="O127" i="15"/>
  <c r="S127" i="15"/>
  <c r="K128" i="15"/>
  <c r="M128" i="15"/>
  <c r="N128" i="15"/>
  <c r="O128" i="15"/>
  <c r="S128" i="15"/>
  <c r="K129" i="15"/>
  <c r="M129" i="15"/>
  <c r="N129" i="15"/>
  <c r="O129" i="15"/>
  <c r="S129" i="15"/>
  <c r="K130" i="15"/>
  <c r="M130" i="15"/>
  <c r="N130" i="15"/>
  <c r="O130" i="15"/>
  <c r="S130" i="15"/>
  <c r="K131" i="15"/>
  <c r="M131" i="15"/>
  <c r="N131" i="15"/>
  <c r="O131" i="15"/>
  <c r="S131" i="15"/>
  <c r="K132" i="15"/>
  <c r="M132" i="15"/>
  <c r="N132" i="15"/>
  <c r="O132" i="15"/>
  <c r="S132" i="15"/>
  <c r="K133" i="15"/>
  <c r="M133" i="15"/>
  <c r="N133" i="15"/>
  <c r="O133" i="15"/>
  <c r="S133" i="15"/>
  <c r="K134" i="15"/>
  <c r="M134" i="15"/>
  <c r="N134" i="15"/>
  <c r="O134" i="15"/>
  <c r="S134" i="15"/>
  <c r="K135" i="15"/>
  <c r="M135" i="15"/>
  <c r="N135" i="15"/>
  <c r="O135" i="15"/>
  <c r="S135" i="15"/>
  <c r="K136" i="15"/>
  <c r="M136" i="15"/>
  <c r="N136" i="15"/>
  <c r="O136" i="15"/>
  <c r="S136" i="15"/>
  <c r="K137" i="15"/>
  <c r="M137" i="15"/>
  <c r="N137" i="15"/>
  <c r="O137" i="15"/>
  <c r="S137" i="15"/>
  <c r="K138" i="15"/>
  <c r="M138" i="15"/>
  <c r="N138" i="15"/>
  <c r="O138" i="15"/>
  <c r="S138" i="15"/>
  <c r="K139" i="15"/>
  <c r="M139" i="15"/>
  <c r="N139" i="15"/>
  <c r="O139" i="15"/>
  <c r="S139" i="15"/>
  <c r="K140" i="15"/>
  <c r="M140" i="15"/>
  <c r="N140" i="15"/>
  <c r="O140" i="15"/>
  <c r="S140" i="15"/>
  <c r="K141" i="15"/>
  <c r="M141" i="15"/>
  <c r="N141" i="15"/>
  <c r="O141" i="15"/>
  <c r="S141" i="15"/>
  <c r="K142" i="15"/>
  <c r="M142" i="15"/>
  <c r="N142" i="15"/>
  <c r="O142" i="15"/>
  <c r="S142" i="15"/>
  <c r="AJ106" i="15" l="1"/>
  <c r="AG106" i="15"/>
  <c r="Y106" i="15"/>
  <c r="X106" i="15"/>
  <c r="W106" i="15"/>
  <c r="V106" i="15"/>
  <c r="AD46" i="2" l="1"/>
  <c r="AD45" i="2"/>
  <c r="AD44" i="2"/>
  <c r="AD43" i="2"/>
  <c r="AD42" i="2"/>
  <c r="AD41" i="2"/>
  <c r="AD40" i="2"/>
  <c r="AD39" i="2"/>
  <c r="AD38" i="2"/>
  <c r="AD37" i="2"/>
  <c r="AD36" i="2"/>
  <c r="AD35" i="2"/>
  <c r="AD34" i="2"/>
  <c r="AD33" i="2"/>
  <c r="AD32" i="2"/>
  <c r="AD31" i="2"/>
  <c r="AD30" i="2"/>
  <c r="AD29" i="2"/>
  <c r="AD28" i="2"/>
  <c r="AD27" i="2"/>
  <c r="AD26" i="2"/>
  <c r="AD25" i="2"/>
  <c r="AD24" i="2"/>
  <c r="AD23" i="2"/>
  <c r="AD22" i="2"/>
  <c r="AD21" i="2"/>
  <c r="AD20" i="2"/>
  <c r="AD19" i="2"/>
  <c r="AD18" i="2"/>
  <c r="AD17" i="2"/>
  <c r="AC17" i="2"/>
  <c r="AD16" i="2"/>
  <c r="AC16" i="2"/>
  <c r="AD15" i="2"/>
  <c r="AC15" i="2"/>
  <c r="AD14" i="2"/>
  <c r="AC14" i="2"/>
  <c r="AD13" i="2"/>
  <c r="AC13" i="2"/>
  <c r="AD12" i="2"/>
  <c r="AD11" i="2"/>
  <c r="AD10" i="2"/>
  <c r="AD9" i="2"/>
  <c r="AD8" i="2"/>
  <c r="AD6" i="2"/>
  <c r="AD5" i="2"/>
  <c r="AD4" i="2"/>
  <c r="AD4" i="7"/>
  <c r="AD5" i="7" s="1"/>
  <c r="AD6" i="7" s="1"/>
  <c r="AD7" i="7" s="1"/>
  <c r="AD8" i="7" s="1"/>
  <c r="AD9" i="7" s="1"/>
  <c r="AD10" i="7" s="1"/>
  <c r="AD11" i="7" s="1"/>
  <c r="AD12" i="7" s="1"/>
  <c r="AD13" i="7" s="1"/>
  <c r="AD14" i="7" s="1"/>
  <c r="AD15" i="7" s="1"/>
  <c r="AD16" i="7" s="1"/>
  <c r="AD17" i="7" s="1"/>
  <c r="AD18" i="7" s="1"/>
  <c r="AD19" i="7" s="1"/>
  <c r="AD20" i="7" s="1"/>
  <c r="AD21" i="7" s="1"/>
  <c r="AD22" i="7" s="1"/>
  <c r="AD23" i="7" s="1"/>
  <c r="AD24" i="7" s="1"/>
  <c r="AD25" i="7" s="1"/>
  <c r="AD26" i="7" s="1"/>
  <c r="AD27" i="7" s="1"/>
  <c r="AD28" i="7" s="1"/>
  <c r="AD29" i="7" s="1"/>
  <c r="AD30" i="7" s="1"/>
  <c r="AD31" i="7" s="1"/>
  <c r="AD32" i="7" s="1"/>
  <c r="AD33" i="7" s="1"/>
  <c r="AD34" i="7" s="1"/>
  <c r="AD35" i="7" s="1"/>
  <c r="AD36" i="7" s="1"/>
  <c r="AD37" i="7" s="1"/>
  <c r="AD38" i="7" s="1"/>
  <c r="AD39" i="7" s="1"/>
  <c r="AD40" i="7" s="1"/>
  <c r="AD41" i="7" s="1"/>
  <c r="AD42" i="7" s="1"/>
  <c r="AD43" i="7" s="1"/>
  <c r="AD44" i="7" s="1"/>
  <c r="AD45" i="7" s="1"/>
  <c r="AD46" i="7" s="1"/>
  <c r="AD47" i="7" s="1"/>
  <c r="AD48" i="7" s="1"/>
  <c r="AD49" i="7" s="1"/>
  <c r="AD50" i="7" s="1"/>
  <c r="AD51" i="7" s="1"/>
  <c r="AD52" i="7" s="1"/>
  <c r="AD53" i="7" s="1"/>
  <c r="AD54" i="7" s="1"/>
  <c r="AD55" i="7" s="1"/>
  <c r="AD56" i="7" s="1"/>
  <c r="AD57" i="7" s="1"/>
  <c r="AD58" i="7" s="1"/>
  <c r="AD59" i="7" s="1"/>
  <c r="AD60" i="7" s="1"/>
  <c r="AD61" i="7" s="1"/>
  <c r="AD62" i="7" s="1"/>
  <c r="AD63" i="7" s="1"/>
  <c r="AD64" i="7" s="1"/>
  <c r="AD65" i="7" s="1"/>
  <c r="AD66" i="7" s="1"/>
  <c r="AD67" i="7" s="1"/>
  <c r="AD68" i="7" s="1"/>
  <c r="AD69" i="7" s="1"/>
  <c r="AD70" i="7" s="1"/>
  <c r="AD71" i="7" s="1"/>
  <c r="AD72" i="7" s="1"/>
  <c r="AD73" i="7" s="1"/>
  <c r="AD74" i="7" s="1"/>
  <c r="AD75" i="7" s="1"/>
  <c r="D21" i="7"/>
  <c r="AI106" i="15" s="1"/>
  <c r="I10" i="7"/>
  <c r="B53" i="15"/>
  <c r="L56" i="15"/>
  <c r="B70" i="15"/>
  <c r="B69" i="15"/>
  <c r="B68" i="15"/>
  <c r="B67" i="15"/>
  <c r="B66" i="15"/>
  <c r="B65" i="15"/>
  <c r="B64" i="15"/>
  <c r="B63" i="15"/>
  <c r="D20" i="15"/>
  <c r="D19" i="15"/>
  <c r="D11" i="15"/>
  <c r="A43" i="15"/>
  <c r="C41" i="15" s="1"/>
  <c r="D23" i="15"/>
  <c r="D18" i="15"/>
  <c r="D16" i="15"/>
  <c r="D14" i="15"/>
  <c r="D12" i="15"/>
  <c r="E50" i="9"/>
  <c r="C168" i="13"/>
  <c r="C167" i="13"/>
  <c r="C166" i="13"/>
  <c r="C165" i="13"/>
  <c r="C164" i="13"/>
  <c r="K38" i="14"/>
  <c r="I38" i="14"/>
  <c r="C51" i="11"/>
  <c r="C50" i="11"/>
  <c r="C49" i="11"/>
  <c r="C48" i="11"/>
  <c r="C47" i="11"/>
  <c r="C46" i="11"/>
  <c r="C42" i="11"/>
  <c r="D32" i="5"/>
  <c r="D22" i="7"/>
  <c r="D20" i="7"/>
  <c r="D19" i="7"/>
  <c r="D18" i="7"/>
  <c r="K11" i="5"/>
  <c r="C30" i="12"/>
  <c r="C29" i="12"/>
  <c r="C28" i="12"/>
  <c r="C27" i="12"/>
  <c r="C26" i="12"/>
  <c r="C25" i="12"/>
  <c r="C24" i="12"/>
  <c r="C23" i="12"/>
  <c r="C22" i="12"/>
  <c r="C21" i="12"/>
  <c r="J17" i="3"/>
  <c r="J16" i="3"/>
  <c r="J15" i="3"/>
  <c r="J14" i="3"/>
  <c r="J13" i="3"/>
  <c r="J12" i="3"/>
  <c r="J11" i="3"/>
  <c r="J10" i="3"/>
  <c r="J9" i="3"/>
  <c r="J8" i="3"/>
  <c r="G17" i="3"/>
  <c r="G16" i="3"/>
  <c r="G15" i="3"/>
  <c r="G14" i="3"/>
  <c r="G13" i="3"/>
  <c r="G12" i="3"/>
  <c r="G11" i="3"/>
  <c r="G10" i="3"/>
  <c r="G9" i="3"/>
  <c r="G8" i="3"/>
  <c r="D17" i="3"/>
  <c r="D16" i="3"/>
  <c r="D15" i="3"/>
  <c r="D14" i="3"/>
  <c r="D13" i="3"/>
  <c r="D12" i="3"/>
  <c r="D11" i="3"/>
  <c r="D10" i="3"/>
  <c r="D9" i="3"/>
  <c r="D8" i="3"/>
  <c r="M35" i="9"/>
  <c r="M34" i="9"/>
  <c r="M33" i="9"/>
  <c r="M32" i="9"/>
  <c r="M31" i="9"/>
  <c r="M30" i="9"/>
  <c r="M29" i="9"/>
  <c r="M28" i="9"/>
  <c r="M27" i="9"/>
  <c r="M26" i="9"/>
  <c r="J35" i="9"/>
  <c r="J34" i="9"/>
  <c r="J33" i="9"/>
  <c r="J32" i="9"/>
  <c r="J31" i="9"/>
  <c r="J30" i="9"/>
  <c r="J29" i="9"/>
  <c r="J28" i="9"/>
  <c r="J27" i="9"/>
  <c r="J26" i="9"/>
  <c r="G35" i="9"/>
  <c r="G34" i="9"/>
  <c r="G33" i="9"/>
  <c r="G32" i="9"/>
  <c r="G31" i="9"/>
  <c r="G30" i="9"/>
  <c r="G29" i="9"/>
  <c r="G28" i="9"/>
  <c r="G27" i="9"/>
  <c r="G26" i="9"/>
  <c r="N20" i="9"/>
  <c r="M20" i="9"/>
  <c r="N19" i="9"/>
  <c r="M19" i="9"/>
  <c r="N18" i="9"/>
  <c r="M18" i="9"/>
  <c r="N17" i="9"/>
  <c r="M17" i="9"/>
  <c r="N16" i="9"/>
  <c r="N15" i="9"/>
  <c r="M16" i="9"/>
  <c r="M15" i="9"/>
  <c r="M14" i="9"/>
  <c r="M13" i="9"/>
  <c r="M12" i="9"/>
  <c r="M11" i="9"/>
  <c r="N14" i="9"/>
  <c r="N13" i="9"/>
  <c r="N12" i="9"/>
  <c r="N11" i="9"/>
  <c r="L4" i="9"/>
  <c r="I20" i="9"/>
  <c r="I19" i="9"/>
  <c r="I18" i="9"/>
  <c r="I17" i="9"/>
  <c r="I16" i="9"/>
  <c r="I15" i="9"/>
  <c r="I14" i="9"/>
  <c r="I13" i="9"/>
  <c r="I12" i="9"/>
  <c r="I11" i="9"/>
  <c r="J20" i="9"/>
  <c r="J19" i="9"/>
  <c r="J18" i="9"/>
  <c r="J17" i="9"/>
  <c r="J16" i="9"/>
  <c r="J15" i="9"/>
  <c r="J14" i="9"/>
  <c r="J13" i="9"/>
  <c r="J12" i="9"/>
  <c r="J11" i="9"/>
  <c r="H4" i="9"/>
  <c r="J14" i="127"/>
  <c r="M14" i="127"/>
  <c r="D44" i="9" l="1"/>
  <c r="F44" i="9" s="1"/>
  <c r="N22" i="9"/>
  <c r="D45" i="9"/>
  <c r="F45" i="9" s="1"/>
  <c r="J22" i="9"/>
  <c r="I14" i="7"/>
  <c r="I13" i="7"/>
  <c r="D48" i="15"/>
  <c r="B77" i="15"/>
  <c r="C63" i="15"/>
  <c r="E37" i="15"/>
  <c r="C45" i="15"/>
  <c r="C37" i="15"/>
  <c r="D37" i="15"/>
  <c r="E39" i="15"/>
  <c r="C39" i="15"/>
  <c r="D41" i="15"/>
  <c r="D39" i="15"/>
  <c r="C43" i="15"/>
  <c r="D43" i="15"/>
  <c r="N14" i="127"/>
  <c r="D65" i="11"/>
  <c r="D64" i="11"/>
  <c r="D63" i="11"/>
  <c r="D62" i="11"/>
  <c r="D61" i="11"/>
  <c r="D60" i="11"/>
  <c r="D59" i="11"/>
  <c r="D58" i="11"/>
  <c r="D57" i="11"/>
  <c r="D56" i="11"/>
  <c r="H29" i="11"/>
  <c r="E51" i="11"/>
  <c r="E50" i="11"/>
  <c r="E49" i="11"/>
  <c r="E48" i="11"/>
  <c r="E47" i="11"/>
  <c r="E46" i="11"/>
  <c r="E45" i="11"/>
  <c r="C45" i="11" s="1"/>
  <c r="E44" i="11"/>
  <c r="C44" i="11" s="1"/>
  <c r="E43" i="11"/>
  <c r="C43" i="11" s="1"/>
  <c r="E42" i="11"/>
  <c r="D51" i="11"/>
  <c r="D50" i="11"/>
  <c r="D49" i="11"/>
  <c r="D48" i="11"/>
  <c r="D47" i="11"/>
  <c r="D46" i="11"/>
  <c r="D45" i="11"/>
  <c r="D44" i="11"/>
  <c r="D43" i="11"/>
  <c r="D42" i="11"/>
  <c r="C53" i="11" l="1"/>
  <c r="K33" i="14" s="1"/>
  <c r="B20" i="14" s="1"/>
  <c r="A24" i="2"/>
  <c r="A18" i="13"/>
  <c r="A19" i="13" s="1"/>
  <c r="A25" i="2"/>
  <c r="A20" i="13"/>
  <c r="A21" i="13" s="1"/>
  <c r="A22" i="2"/>
  <c r="B22" i="2" s="1"/>
  <c r="A14" i="13"/>
  <c r="A15" i="13" s="1"/>
  <c r="A26" i="2"/>
  <c r="B26" i="2" s="1"/>
  <c r="A22" i="13"/>
  <c r="A23" i="13" s="1"/>
  <c r="A30" i="2"/>
  <c r="B30" i="2" s="1"/>
  <c r="A30" i="13"/>
  <c r="A31" i="13" s="1"/>
  <c r="A28" i="2"/>
  <c r="B28" i="2" s="1"/>
  <c r="A26" i="13"/>
  <c r="A27" i="13" s="1"/>
  <c r="A29" i="2"/>
  <c r="B29" i="2" s="1"/>
  <c r="A28" i="13"/>
  <c r="A29" i="13" s="1"/>
  <c r="A16" i="13"/>
  <c r="A17" i="13" s="1"/>
  <c r="A23" i="2"/>
  <c r="A24" i="13"/>
  <c r="A25" i="13" s="1"/>
  <c r="A27" i="2"/>
  <c r="B27" i="2" s="1"/>
  <c r="A32" i="13"/>
  <c r="A33" i="13" s="1"/>
  <c r="A31" i="2"/>
  <c r="B31" i="2" s="1"/>
  <c r="I15" i="7"/>
  <c r="H63" i="15"/>
  <c r="C64" i="15"/>
  <c r="C75" i="10"/>
  <c r="C74" i="10"/>
  <c r="C73" i="10"/>
  <c r="C72" i="10"/>
  <c r="C71" i="10"/>
  <c r="C70" i="10"/>
  <c r="C69" i="10"/>
  <c r="C68" i="10"/>
  <c r="C67" i="10"/>
  <c r="C66" i="10"/>
  <c r="D61" i="10"/>
  <c r="D60" i="10"/>
  <c r="D59" i="10"/>
  <c r="D58" i="10"/>
  <c r="D57" i="10"/>
  <c r="D56" i="10"/>
  <c r="D55" i="10"/>
  <c r="D54" i="10"/>
  <c r="D53" i="10"/>
  <c r="D52" i="10"/>
  <c r="C61" i="10"/>
  <c r="A21" i="2" s="1"/>
  <c r="C60" i="10"/>
  <c r="A20" i="2" s="1"/>
  <c r="C59" i="10"/>
  <c r="A19" i="2" s="1"/>
  <c r="C58" i="10"/>
  <c r="A18" i="2" s="1"/>
  <c r="C57" i="10"/>
  <c r="A17" i="2" s="1"/>
  <c r="C56" i="10"/>
  <c r="A16" i="2" s="1"/>
  <c r="C55" i="10"/>
  <c r="A15" i="2" s="1"/>
  <c r="C54" i="10"/>
  <c r="A14" i="2" s="1"/>
  <c r="C53" i="10"/>
  <c r="A13" i="2" s="1"/>
  <c r="C52" i="10"/>
  <c r="A12" i="2" s="1"/>
  <c r="I16" i="7" l="1"/>
  <c r="AA106" i="15" s="1"/>
  <c r="Z106" i="15"/>
  <c r="A38" i="13"/>
  <c r="A115" i="13"/>
  <c r="A42" i="13"/>
  <c r="A119" i="13"/>
  <c r="A35" i="13"/>
  <c r="A112" i="13"/>
  <c r="A39" i="13"/>
  <c r="A116" i="13"/>
  <c r="A43" i="13"/>
  <c r="A120" i="13"/>
  <c r="A113" i="13"/>
  <c r="A36" i="13"/>
  <c r="A117" i="13"/>
  <c r="A40" i="13"/>
  <c r="A121" i="13"/>
  <c r="A44" i="13"/>
  <c r="A114" i="13"/>
  <c r="A37" i="13"/>
  <c r="A41" i="13"/>
  <c r="A118" i="13"/>
  <c r="D49" i="15"/>
  <c r="C65" i="15" s="1"/>
  <c r="D28" i="10"/>
  <c r="A56" i="16"/>
  <c r="A55" i="16"/>
  <c r="A54" i="16"/>
  <c r="A53" i="16"/>
  <c r="A52" i="16"/>
  <c r="A51" i="16"/>
  <c r="A50" i="16"/>
  <c r="A49" i="16"/>
  <c r="A48" i="16"/>
  <c r="A47" i="16"/>
  <c r="A43" i="16"/>
  <c r="A42" i="16"/>
  <c r="A41" i="16"/>
  <c r="A40" i="16"/>
  <c r="A39" i="16"/>
  <c r="A38" i="16"/>
  <c r="A34" i="16"/>
  <c r="A28" i="16"/>
  <c r="A27" i="16"/>
  <c r="A26" i="16"/>
  <c r="A25" i="16"/>
  <c r="A24" i="16"/>
  <c r="A23" i="16"/>
  <c r="A22" i="16"/>
  <c r="A21" i="16"/>
  <c r="A19" i="16"/>
  <c r="D39" i="9"/>
  <c r="D38" i="9"/>
  <c r="D37" i="9"/>
  <c r="D36" i="9"/>
  <c r="D35" i="9"/>
  <c r="D34" i="9"/>
  <c r="D33" i="9"/>
  <c r="D32" i="9"/>
  <c r="D31" i="9"/>
  <c r="D30" i="9"/>
  <c r="D29" i="9"/>
  <c r="D28" i="9"/>
  <c r="D27" i="9"/>
  <c r="D26" i="9"/>
  <c r="D25" i="9"/>
  <c r="D24" i="9"/>
  <c r="D23" i="9"/>
  <c r="D22" i="9"/>
  <c r="D21" i="9"/>
  <c r="D20" i="9"/>
  <c r="D19" i="9"/>
  <c r="D18" i="9"/>
  <c r="D17" i="9"/>
  <c r="D16" i="9"/>
  <c r="D15" i="9"/>
  <c r="D14" i="9"/>
  <c r="D13" i="9"/>
  <c r="D12" i="9"/>
  <c r="D11" i="9"/>
  <c r="D10" i="9"/>
  <c r="C7" i="9"/>
  <c r="M22" i="127"/>
  <c r="L22" i="127"/>
  <c r="K22" i="127"/>
  <c r="J22" i="127"/>
  <c r="I22" i="127"/>
  <c r="K17" i="3" s="1"/>
  <c r="H22" i="127"/>
  <c r="G22" i="127"/>
  <c r="F22" i="127"/>
  <c r="E22" i="127"/>
  <c r="M21" i="127"/>
  <c r="L21" i="127"/>
  <c r="K21" i="127"/>
  <c r="J21" i="127"/>
  <c r="I21" i="127"/>
  <c r="K16" i="3" s="1"/>
  <c r="H21" i="127"/>
  <c r="G21" i="127"/>
  <c r="F21" i="127"/>
  <c r="E21" i="127"/>
  <c r="M20" i="127"/>
  <c r="L20" i="127"/>
  <c r="K20" i="127"/>
  <c r="J20" i="127"/>
  <c r="I20" i="127"/>
  <c r="K15" i="3" s="1"/>
  <c r="H20" i="127"/>
  <c r="G20" i="127"/>
  <c r="F20" i="127"/>
  <c r="E20" i="127"/>
  <c r="M19" i="127"/>
  <c r="L19" i="127"/>
  <c r="K19" i="127"/>
  <c r="J19" i="127"/>
  <c r="I19" i="127"/>
  <c r="K14" i="3" s="1"/>
  <c r="H19" i="127"/>
  <c r="G19" i="127"/>
  <c r="F19" i="127"/>
  <c r="E19" i="127"/>
  <c r="M18" i="127"/>
  <c r="L18" i="127"/>
  <c r="K18" i="127"/>
  <c r="J18" i="127"/>
  <c r="I18" i="127"/>
  <c r="K13" i="3" s="1"/>
  <c r="H18" i="127"/>
  <c r="G18" i="127"/>
  <c r="F18" i="127"/>
  <c r="E18" i="127"/>
  <c r="M17" i="127"/>
  <c r="L17" i="127"/>
  <c r="K17" i="127"/>
  <c r="J17" i="127"/>
  <c r="I17" i="127"/>
  <c r="K12" i="3" s="1"/>
  <c r="H17" i="127"/>
  <c r="G17" i="127"/>
  <c r="F17" i="127"/>
  <c r="E17" i="127"/>
  <c r="M16" i="127"/>
  <c r="L16" i="127"/>
  <c r="K16" i="127"/>
  <c r="J16" i="127"/>
  <c r="I16" i="127"/>
  <c r="K11" i="3" s="1"/>
  <c r="H16" i="127"/>
  <c r="G16" i="127"/>
  <c r="F16" i="127"/>
  <c r="E16" i="127"/>
  <c r="M15" i="127"/>
  <c r="L15" i="127"/>
  <c r="K15" i="127"/>
  <c r="J15" i="127"/>
  <c r="I15" i="127"/>
  <c r="K10" i="3" s="1"/>
  <c r="H15" i="127"/>
  <c r="G15" i="127"/>
  <c r="F15" i="127"/>
  <c r="E15" i="127"/>
  <c r="L14" i="127"/>
  <c r="K14" i="127"/>
  <c r="I14" i="127"/>
  <c r="K9" i="3" s="1"/>
  <c r="H14" i="127"/>
  <c r="G14" i="127"/>
  <c r="F14" i="127"/>
  <c r="E14" i="127"/>
  <c r="M13" i="127"/>
  <c r="L13" i="127"/>
  <c r="K13" i="127"/>
  <c r="J13" i="127"/>
  <c r="I13" i="127"/>
  <c r="K8" i="3" s="1"/>
  <c r="H13" i="127"/>
  <c r="G13" i="127"/>
  <c r="F13" i="127"/>
  <c r="E13" i="127"/>
  <c r="D7" i="127"/>
  <c r="I22" i="70"/>
  <c r="H22" i="70"/>
  <c r="G22" i="70"/>
  <c r="F22" i="70"/>
  <c r="E22" i="70"/>
  <c r="D22" i="70"/>
  <c r="I21" i="70"/>
  <c r="H21" i="70"/>
  <c r="G21" i="70"/>
  <c r="F21" i="70"/>
  <c r="E21" i="70"/>
  <c r="D21" i="70"/>
  <c r="I20" i="70"/>
  <c r="H20" i="70"/>
  <c r="G20" i="70"/>
  <c r="F20" i="70"/>
  <c r="E20" i="70"/>
  <c r="D20" i="70"/>
  <c r="I19" i="70"/>
  <c r="H19" i="70"/>
  <c r="G19" i="70"/>
  <c r="F19" i="70"/>
  <c r="E19" i="70"/>
  <c r="D19" i="70"/>
  <c r="I18" i="70"/>
  <c r="H18" i="70"/>
  <c r="G18" i="70"/>
  <c r="F18" i="70"/>
  <c r="E18" i="70"/>
  <c r="D18" i="70"/>
  <c r="I17" i="70"/>
  <c r="H17" i="70"/>
  <c r="G17" i="70"/>
  <c r="F17" i="70"/>
  <c r="E17" i="70"/>
  <c r="D17" i="70"/>
  <c r="I16" i="70"/>
  <c r="H16" i="70"/>
  <c r="G16" i="70"/>
  <c r="F16" i="70"/>
  <c r="E16" i="70"/>
  <c r="C21" i="70"/>
  <c r="C22" i="70" s="1"/>
  <c r="C15" i="70"/>
  <c r="C16" i="70" s="1"/>
  <c r="C17" i="70" s="1"/>
  <c r="C18" i="70" s="1"/>
  <c r="C19" i="70" s="1"/>
  <c r="C20" i="70" s="1"/>
  <c r="C14" i="70"/>
  <c r="D16" i="70"/>
  <c r="I15" i="70"/>
  <c r="H15" i="70"/>
  <c r="G15" i="70"/>
  <c r="F15" i="70"/>
  <c r="E15" i="70"/>
  <c r="D15" i="70"/>
  <c r="I14" i="70"/>
  <c r="H14" i="70"/>
  <c r="G14" i="70"/>
  <c r="F14" i="70"/>
  <c r="E14" i="70"/>
  <c r="D14" i="70"/>
  <c r="I13" i="70"/>
  <c r="H13" i="70"/>
  <c r="G13" i="70"/>
  <c r="F13" i="70"/>
  <c r="E13" i="70"/>
  <c r="D13" i="70"/>
  <c r="C7" i="70"/>
  <c r="M46" i="10"/>
  <c r="M45" i="10"/>
  <c r="M44" i="10"/>
  <c r="M43" i="10"/>
  <c r="M42" i="10"/>
  <c r="M41" i="10"/>
  <c r="M40" i="10"/>
  <c r="M39" i="10"/>
  <c r="M38" i="10"/>
  <c r="M37" i="10"/>
  <c r="M36" i="10"/>
  <c r="M35" i="10"/>
  <c r="M34" i="10"/>
  <c r="M33" i="10"/>
  <c r="M32" i="10"/>
  <c r="M31" i="10"/>
  <c r="M30" i="10"/>
  <c r="M29" i="10"/>
  <c r="M28" i="10"/>
  <c r="M27" i="10"/>
  <c r="L46" i="10"/>
  <c r="L45" i="10"/>
  <c r="L44" i="10"/>
  <c r="L43" i="10"/>
  <c r="L42" i="10"/>
  <c r="L41" i="10"/>
  <c r="L40" i="10"/>
  <c r="L39" i="10"/>
  <c r="L38" i="10"/>
  <c r="L37" i="10"/>
  <c r="L36" i="10"/>
  <c r="L35" i="10"/>
  <c r="L34" i="10"/>
  <c r="L33" i="10"/>
  <c r="L32" i="10"/>
  <c r="L31" i="10"/>
  <c r="L30" i="10"/>
  <c r="L29" i="10"/>
  <c r="L28" i="10"/>
  <c r="L27" i="10"/>
  <c r="K27" i="10"/>
  <c r="K46" i="10"/>
  <c r="K45" i="10"/>
  <c r="K44" i="10"/>
  <c r="K43" i="10"/>
  <c r="K42" i="10"/>
  <c r="K41" i="10"/>
  <c r="K40" i="10"/>
  <c r="K39" i="10"/>
  <c r="K38" i="10"/>
  <c r="K37" i="10"/>
  <c r="K36" i="10"/>
  <c r="K35" i="10"/>
  <c r="K34" i="10"/>
  <c r="K33" i="10"/>
  <c r="K32" i="10"/>
  <c r="K31" i="10"/>
  <c r="K30" i="10"/>
  <c r="K29" i="10"/>
  <c r="K28" i="10"/>
  <c r="J46" i="10"/>
  <c r="J45" i="10"/>
  <c r="J44" i="10"/>
  <c r="J43" i="10"/>
  <c r="J42" i="10"/>
  <c r="J41" i="10"/>
  <c r="J40" i="10"/>
  <c r="J39" i="10"/>
  <c r="J38" i="10"/>
  <c r="J37" i="10"/>
  <c r="J36" i="10"/>
  <c r="J35" i="10"/>
  <c r="J34" i="10"/>
  <c r="J33" i="10"/>
  <c r="J32" i="10"/>
  <c r="J31" i="10"/>
  <c r="J30" i="10"/>
  <c r="J29" i="10"/>
  <c r="J28" i="10"/>
  <c r="J27" i="10"/>
  <c r="I46" i="10"/>
  <c r="I45" i="10"/>
  <c r="I44" i="10"/>
  <c r="I43" i="10"/>
  <c r="I42" i="10"/>
  <c r="I41" i="10"/>
  <c r="I40" i="10"/>
  <c r="I39" i="10"/>
  <c r="I38" i="10"/>
  <c r="I37" i="10"/>
  <c r="I36" i="10"/>
  <c r="I35" i="10"/>
  <c r="I34" i="10"/>
  <c r="I33" i="10"/>
  <c r="I32" i="10"/>
  <c r="I31" i="10"/>
  <c r="I30" i="10"/>
  <c r="I29" i="10"/>
  <c r="I28" i="10"/>
  <c r="I27" i="10"/>
  <c r="H27" i="10"/>
  <c r="H46" i="10"/>
  <c r="H45" i="10"/>
  <c r="H44" i="10"/>
  <c r="H43" i="10"/>
  <c r="H42" i="10"/>
  <c r="H41" i="10"/>
  <c r="H40" i="10"/>
  <c r="H39" i="10"/>
  <c r="H38" i="10"/>
  <c r="H37" i="10"/>
  <c r="H36" i="10"/>
  <c r="H35" i="10"/>
  <c r="H34" i="10"/>
  <c r="H33" i="10"/>
  <c r="H32" i="10"/>
  <c r="H31" i="10"/>
  <c r="H30" i="10"/>
  <c r="H29" i="10"/>
  <c r="H28" i="10"/>
  <c r="G27" i="10"/>
  <c r="G46" i="10"/>
  <c r="G45" i="10"/>
  <c r="G44" i="10"/>
  <c r="G43" i="10"/>
  <c r="G42" i="10"/>
  <c r="G41" i="10"/>
  <c r="G40" i="10"/>
  <c r="G39" i="10"/>
  <c r="G38" i="10"/>
  <c r="G37" i="10"/>
  <c r="G36" i="10"/>
  <c r="G35" i="10"/>
  <c r="G34" i="10"/>
  <c r="G33" i="10"/>
  <c r="G32" i="10"/>
  <c r="G31" i="10"/>
  <c r="G30" i="10"/>
  <c r="G29" i="10"/>
  <c r="G28" i="10"/>
  <c r="F46" i="10"/>
  <c r="F45" i="10"/>
  <c r="F44" i="10"/>
  <c r="F43" i="10"/>
  <c r="F42" i="10"/>
  <c r="F41" i="10"/>
  <c r="F40" i="10"/>
  <c r="F39" i="10"/>
  <c r="F38" i="10"/>
  <c r="F37" i="10"/>
  <c r="F36" i="10"/>
  <c r="F35" i="10"/>
  <c r="F34" i="10"/>
  <c r="F33" i="10"/>
  <c r="F32" i="10"/>
  <c r="F31" i="10"/>
  <c r="F30" i="10"/>
  <c r="F29" i="10"/>
  <c r="F28" i="10"/>
  <c r="F27" i="10"/>
  <c r="E46" i="10"/>
  <c r="E45" i="10"/>
  <c r="E44" i="10"/>
  <c r="E43" i="10"/>
  <c r="E42" i="10"/>
  <c r="E41" i="10"/>
  <c r="E40" i="10"/>
  <c r="E39" i="10"/>
  <c r="E38" i="10"/>
  <c r="E37" i="10"/>
  <c r="E36" i="10"/>
  <c r="E35" i="10"/>
  <c r="E34" i="10"/>
  <c r="E33" i="10"/>
  <c r="E32" i="10"/>
  <c r="E31" i="10"/>
  <c r="E30" i="10"/>
  <c r="E29" i="10"/>
  <c r="E28" i="10"/>
  <c r="E27" i="10"/>
  <c r="D46" i="10"/>
  <c r="D45" i="10"/>
  <c r="D44" i="10"/>
  <c r="D43" i="10"/>
  <c r="D42" i="10"/>
  <c r="D41" i="10"/>
  <c r="D40" i="10"/>
  <c r="D39" i="10"/>
  <c r="D38" i="10"/>
  <c r="D37" i="10"/>
  <c r="D36" i="10"/>
  <c r="D35" i="10"/>
  <c r="D34" i="10"/>
  <c r="D33" i="10"/>
  <c r="D32" i="10"/>
  <c r="D31" i="10"/>
  <c r="D30" i="10"/>
  <c r="D29" i="10"/>
  <c r="D27" i="10"/>
  <c r="C46" i="10"/>
  <c r="C45" i="10"/>
  <c r="C44" i="10"/>
  <c r="C43" i="10"/>
  <c r="C42" i="10"/>
  <c r="C41" i="10"/>
  <c r="C40" i="10"/>
  <c r="C39" i="10"/>
  <c r="C38" i="10"/>
  <c r="C37" i="10"/>
  <c r="C36" i="10"/>
  <c r="C35" i="10"/>
  <c r="C34" i="10"/>
  <c r="C33" i="10"/>
  <c r="C32" i="10"/>
  <c r="C31" i="10"/>
  <c r="C30" i="10"/>
  <c r="C29" i="10"/>
  <c r="C28" i="10"/>
  <c r="C27" i="10"/>
  <c r="N22" i="10"/>
  <c r="N21" i="10"/>
  <c r="N20" i="10"/>
  <c r="N19" i="10"/>
  <c r="N18" i="10"/>
  <c r="N17" i="10"/>
  <c r="N16" i="10"/>
  <c r="N15" i="10"/>
  <c r="N14" i="10"/>
  <c r="N13" i="10"/>
  <c r="M22" i="10"/>
  <c r="M21" i="10"/>
  <c r="M20" i="10"/>
  <c r="M19" i="10"/>
  <c r="M18" i="10"/>
  <c r="M17" i="10"/>
  <c r="M16" i="10"/>
  <c r="M15" i="10"/>
  <c r="M14" i="10"/>
  <c r="M13" i="10"/>
  <c r="L22" i="10"/>
  <c r="L21" i="10"/>
  <c r="L20" i="10"/>
  <c r="L19" i="10"/>
  <c r="L18" i="10"/>
  <c r="L17" i="10"/>
  <c r="L16" i="10"/>
  <c r="L15" i="10"/>
  <c r="L14" i="10"/>
  <c r="L13" i="10"/>
  <c r="K22" i="10"/>
  <c r="K21" i="10"/>
  <c r="K20" i="10"/>
  <c r="K19" i="10"/>
  <c r="K18" i="10"/>
  <c r="K17" i="10"/>
  <c r="K16" i="10"/>
  <c r="K15" i="10"/>
  <c r="K14" i="10"/>
  <c r="K13" i="10"/>
  <c r="J22" i="10"/>
  <c r="J21" i="10"/>
  <c r="J20" i="10"/>
  <c r="J19" i="10"/>
  <c r="J18" i="10"/>
  <c r="J17" i="10"/>
  <c r="J16" i="10"/>
  <c r="J15" i="10"/>
  <c r="J14" i="10"/>
  <c r="J13" i="10"/>
  <c r="I22" i="10"/>
  <c r="I21" i="10"/>
  <c r="I20" i="10"/>
  <c r="I19" i="10"/>
  <c r="I18" i="10"/>
  <c r="I17" i="10"/>
  <c r="I16" i="10"/>
  <c r="I15" i="10"/>
  <c r="I14" i="10"/>
  <c r="I13" i="10"/>
  <c r="H22" i="10"/>
  <c r="H21" i="10"/>
  <c r="H20" i="10"/>
  <c r="H19" i="10"/>
  <c r="H18" i="10"/>
  <c r="H17" i="10"/>
  <c r="H16" i="10"/>
  <c r="H15" i="10"/>
  <c r="H14" i="10"/>
  <c r="H13" i="10"/>
  <c r="G22" i="10"/>
  <c r="G21" i="10"/>
  <c r="G20" i="10"/>
  <c r="G19" i="10"/>
  <c r="G18" i="10"/>
  <c r="G17" i="10"/>
  <c r="G16" i="10"/>
  <c r="G15" i="10"/>
  <c r="G14" i="10"/>
  <c r="G13" i="10"/>
  <c r="F22" i="10"/>
  <c r="F21" i="10"/>
  <c r="F20" i="10"/>
  <c r="F19" i="10"/>
  <c r="F18" i="10"/>
  <c r="F17" i="10"/>
  <c r="F16" i="10"/>
  <c r="F15" i="10"/>
  <c r="F14" i="10"/>
  <c r="F13" i="10"/>
  <c r="E22" i="10"/>
  <c r="E21" i="10"/>
  <c r="E20" i="10"/>
  <c r="E19" i="10"/>
  <c r="E18" i="10"/>
  <c r="E17" i="10"/>
  <c r="E16" i="10"/>
  <c r="E15" i="10"/>
  <c r="E14" i="10"/>
  <c r="E13" i="10"/>
  <c r="D22" i="10"/>
  <c r="D21" i="10"/>
  <c r="D20" i="10"/>
  <c r="D19" i="10"/>
  <c r="D18" i="10"/>
  <c r="D17" i="10"/>
  <c r="D16" i="10"/>
  <c r="D15" i="10"/>
  <c r="D14" i="10"/>
  <c r="D13" i="10"/>
  <c r="C22" i="10"/>
  <c r="C21" i="10"/>
  <c r="C20" i="10"/>
  <c r="C19" i="10"/>
  <c r="C18" i="10"/>
  <c r="C17" i="10"/>
  <c r="C16" i="10"/>
  <c r="C15" i="10"/>
  <c r="C14" i="10"/>
  <c r="C13" i="10"/>
  <c r="C8" i="10"/>
  <c r="M37" i="11"/>
  <c r="M36" i="11"/>
  <c r="M35" i="11"/>
  <c r="M34" i="11"/>
  <c r="M33" i="11"/>
  <c r="M32" i="11"/>
  <c r="M31" i="11"/>
  <c r="M30" i="11"/>
  <c r="M29" i="11"/>
  <c r="M28" i="11"/>
  <c r="L37" i="11"/>
  <c r="L36" i="11"/>
  <c r="L35" i="11"/>
  <c r="L34" i="11"/>
  <c r="L33" i="11"/>
  <c r="L32" i="11"/>
  <c r="L31" i="11"/>
  <c r="L30" i="11"/>
  <c r="L29" i="11"/>
  <c r="L28" i="11"/>
  <c r="K37" i="11"/>
  <c r="K36" i="11"/>
  <c r="K35" i="11"/>
  <c r="K34" i="11"/>
  <c r="K33" i="11"/>
  <c r="K32" i="11"/>
  <c r="K31" i="11"/>
  <c r="K30" i="11"/>
  <c r="K29" i="11"/>
  <c r="K28" i="11"/>
  <c r="J37" i="11"/>
  <c r="J36" i="11"/>
  <c r="J35" i="11"/>
  <c r="J34" i="11"/>
  <c r="J33" i="11"/>
  <c r="J32" i="11"/>
  <c r="J31" i="11"/>
  <c r="J30" i="11"/>
  <c r="J29" i="11"/>
  <c r="J28" i="11"/>
  <c r="I37" i="11"/>
  <c r="I36" i="11"/>
  <c r="I35" i="11"/>
  <c r="I34" i="11"/>
  <c r="I33" i="11"/>
  <c r="I32" i="11"/>
  <c r="I31" i="11"/>
  <c r="I30" i="11"/>
  <c r="I29" i="11"/>
  <c r="I28" i="11"/>
  <c r="H37" i="11"/>
  <c r="H36" i="11"/>
  <c r="H35" i="11"/>
  <c r="H34" i="11"/>
  <c r="H33" i="11"/>
  <c r="H32" i="11"/>
  <c r="H31" i="11"/>
  <c r="H30" i="11"/>
  <c r="H28" i="11"/>
  <c r="G37" i="11"/>
  <c r="G36" i="11"/>
  <c r="G35" i="11"/>
  <c r="G34" i="11"/>
  <c r="G33" i="11"/>
  <c r="G32" i="11"/>
  <c r="G31" i="11"/>
  <c r="G30" i="11"/>
  <c r="G29" i="11"/>
  <c r="G28" i="11"/>
  <c r="F37" i="11"/>
  <c r="F36" i="11"/>
  <c r="F35" i="11"/>
  <c r="F34" i="11"/>
  <c r="F33" i="11"/>
  <c r="F32" i="11"/>
  <c r="F31" i="11"/>
  <c r="F30" i="11"/>
  <c r="F29" i="11"/>
  <c r="F28" i="11"/>
  <c r="E37" i="11"/>
  <c r="E36" i="11"/>
  <c r="E35" i="11"/>
  <c r="E34" i="11"/>
  <c r="E33" i="11"/>
  <c r="E32" i="11"/>
  <c r="E31" i="11"/>
  <c r="E30" i="11"/>
  <c r="E29" i="11"/>
  <c r="E28" i="11"/>
  <c r="D37" i="11"/>
  <c r="D36" i="11"/>
  <c r="D35" i="11"/>
  <c r="D34" i="11"/>
  <c r="D33" i="11"/>
  <c r="D32" i="11"/>
  <c r="D31" i="11"/>
  <c r="D30" i="11"/>
  <c r="D29" i="11"/>
  <c r="D28" i="11"/>
  <c r="J24" i="11"/>
  <c r="J23" i="11"/>
  <c r="J22" i="11"/>
  <c r="J21" i="11"/>
  <c r="J20" i="11"/>
  <c r="J19" i="11"/>
  <c r="J18" i="11"/>
  <c r="J17" i="11"/>
  <c r="J16" i="11"/>
  <c r="J15" i="11"/>
  <c r="I24" i="11"/>
  <c r="I23" i="11"/>
  <c r="I22" i="11"/>
  <c r="I21" i="11"/>
  <c r="I20" i="11"/>
  <c r="I19" i="11"/>
  <c r="I18" i="11"/>
  <c r="I17" i="11"/>
  <c r="I16" i="11"/>
  <c r="I15" i="11"/>
  <c r="H24" i="11"/>
  <c r="H23" i="11"/>
  <c r="H22" i="11"/>
  <c r="H21" i="11"/>
  <c r="H20" i="11"/>
  <c r="H19" i="11"/>
  <c r="H18" i="11"/>
  <c r="H17" i="11"/>
  <c r="H16" i="11"/>
  <c r="H15" i="11"/>
  <c r="G24" i="11"/>
  <c r="G23" i="11"/>
  <c r="G22" i="11"/>
  <c r="G21" i="11"/>
  <c r="G20" i="11"/>
  <c r="G19" i="11"/>
  <c r="G18" i="11"/>
  <c r="B25" i="2" s="1"/>
  <c r="G17" i="11"/>
  <c r="B24" i="2" s="1"/>
  <c r="G16" i="11"/>
  <c r="B23" i="2" s="1"/>
  <c r="G15" i="11"/>
  <c r="F24" i="11"/>
  <c r="F23" i="11"/>
  <c r="F22" i="11"/>
  <c r="F21" i="11"/>
  <c r="F20" i="11"/>
  <c r="F19" i="11"/>
  <c r="F18" i="11"/>
  <c r="F17" i="11"/>
  <c r="F16" i="11"/>
  <c r="F15" i="11"/>
  <c r="E24" i="11"/>
  <c r="E23" i="11"/>
  <c r="E22" i="11"/>
  <c r="E21" i="11"/>
  <c r="E20" i="11"/>
  <c r="E19" i="11"/>
  <c r="E18" i="11"/>
  <c r="E17" i="11"/>
  <c r="E16" i="11"/>
  <c r="E15" i="11"/>
  <c r="D10" i="11"/>
  <c r="D17" i="7"/>
  <c r="D15" i="7"/>
  <c r="AH106" i="15" s="1"/>
  <c r="D14" i="7"/>
  <c r="AF106" i="15" s="1"/>
  <c r="D13" i="7"/>
  <c r="AE106" i="15" s="1"/>
  <c r="C10" i="7"/>
  <c r="D41" i="6"/>
  <c r="D40" i="6"/>
  <c r="B154" i="13" s="1"/>
  <c r="D39" i="6"/>
  <c r="B153" i="13" s="1"/>
  <c r="D38" i="6"/>
  <c r="B150" i="13" s="1"/>
  <c r="D37" i="6"/>
  <c r="B148" i="13" s="1"/>
  <c r="D36" i="6"/>
  <c r="D35" i="6"/>
  <c r="D34" i="6"/>
  <c r="B143" i="13" s="1"/>
  <c r="D33" i="6"/>
  <c r="D32" i="6"/>
  <c r="B141" i="13" s="1"/>
  <c r="D31" i="6"/>
  <c r="B140" i="13" s="1"/>
  <c r="D30" i="6"/>
  <c r="B139" i="13" s="1"/>
  <c r="D29" i="6"/>
  <c r="B137" i="13" s="1"/>
  <c r="D28" i="6"/>
  <c r="B135" i="13" s="1"/>
  <c r="D27" i="6"/>
  <c r="B134" i="13" s="1"/>
  <c r="D26" i="6"/>
  <c r="B133" i="13" s="1"/>
  <c r="D25" i="6"/>
  <c r="B131" i="13" s="1"/>
  <c r="D24" i="6"/>
  <c r="B130" i="13" s="1"/>
  <c r="D23" i="6"/>
  <c r="B129" i="13" s="1"/>
  <c r="D22" i="6"/>
  <c r="B128" i="13" s="1"/>
  <c r="D21" i="6"/>
  <c r="B127" i="13" s="1"/>
  <c r="D20" i="6"/>
  <c r="B126" i="13" s="1"/>
  <c r="D19" i="6"/>
  <c r="B125" i="13" s="1"/>
  <c r="D18" i="6"/>
  <c r="B124" i="13" s="1"/>
  <c r="D17" i="6"/>
  <c r="B123" i="13" s="1"/>
  <c r="D16" i="6"/>
  <c r="B122" i="13" s="1"/>
  <c r="D15" i="6"/>
  <c r="B111" i="13" s="1"/>
  <c r="E13" i="6"/>
  <c r="D13" i="6"/>
  <c r="C13" i="6"/>
  <c r="C10" i="6"/>
  <c r="E30" i="5"/>
  <c r="E29" i="5"/>
  <c r="E28" i="5"/>
  <c r="I23" i="5" s="1"/>
  <c r="E27" i="5"/>
  <c r="I22" i="5" s="1"/>
  <c r="E26" i="5"/>
  <c r="E25" i="5"/>
  <c r="I21" i="5" s="1"/>
  <c r="E24" i="5"/>
  <c r="I20" i="5" s="1"/>
  <c r="E23" i="5"/>
  <c r="I19" i="5" s="1"/>
  <c r="E22" i="5"/>
  <c r="I18" i="5" s="1"/>
  <c r="E21" i="5"/>
  <c r="I17" i="5" s="1"/>
  <c r="E20" i="5"/>
  <c r="I16" i="5" s="1"/>
  <c r="E19" i="5"/>
  <c r="E18" i="5"/>
  <c r="E17" i="5"/>
  <c r="E16" i="5"/>
  <c r="E14" i="5"/>
  <c r="E13" i="5"/>
  <c r="I8" i="5" s="1"/>
  <c r="I12" i="5" s="1"/>
  <c r="D31" i="5"/>
  <c r="D30" i="5"/>
  <c r="D29" i="5"/>
  <c r="D28" i="5"/>
  <c r="H23" i="5" s="1"/>
  <c r="J23" i="5" s="1"/>
  <c r="D27" i="5"/>
  <c r="H22" i="5" s="1"/>
  <c r="D26" i="5"/>
  <c r="D25" i="5"/>
  <c r="H21" i="5" s="1"/>
  <c r="J21" i="5" s="1"/>
  <c r="D24" i="5"/>
  <c r="H20" i="5" s="1"/>
  <c r="J20" i="5" s="1"/>
  <c r="B101" i="13" s="1"/>
  <c r="D23" i="5"/>
  <c r="H19" i="5" s="1"/>
  <c r="D22" i="5"/>
  <c r="H18" i="5" s="1"/>
  <c r="D21" i="5"/>
  <c r="H17" i="5" s="1"/>
  <c r="D20" i="5"/>
  <c r="H16" i="5" s="1"/>
  <c r="J16" i="5" s="1"/>
  <c r="D19" i="5"/>
  <c r="D18" i="5"/>
  <c r="D17" i="5"/>
  <c r="D16" i="5"/>
  <c r="H13" i="5" s="1"/>
  <c r="D15" i="5"/>
  <c r="D14" i="5"/>
  <c r="D13" i="5"/>
  <c r="H8" i="5" s="1"/>
  <c r="D12" i="5"/>
  <c r="C8" i="5"/>
  <c r="C11" i="67"/>
  <c r="C10" i="67"/>
  <c r="C9" i="67"/>
  <c r="C8" i="67"/>
  <c r="C6" i="67"/>
  <c r="D17" i="71"/>
  <c r="D12" i="12" s="1"/>
  <c r="D16" i="71"/>
  <c r="D15" i="71"/>
  <c r="D14" i="71"/>
  <c r="D11" i="12" s="1"/>
  <c r="D13" i="71"/>
  <c r="B39" i="2" s="1"/>
  <c r="D12" i="71"/>
  <c r="D10" i="12" s="1"/>
  <c r="D11" i="71"/>
  <c r="D9" i="12" s="1"/>
  <c r="D10" i="71"/>
  <c r="D8" i="12" s="1"/>
  <c r="D9" i="71"/>
  <c r="D7" i="12" s="1"/>
  <c r="C7" i="71"/>
  <c r="B19" i="68"/>
  <c r="B11" i="2" s="1"/>
  <c r="C16" i="68"/>
  <c r="B10" i="2" s="1"/>
  <c r="B16" i="68"/>
  <c r="C13" i="68"/>
  <c r="B8" i="2" s="1"/>
  <c r="B13" i="68"/>
  <c r="B9" i="2" s="1"/>
  <c r="D10" i="68"/>
  <c r="C10" i="68"/>
  <c r="B10" i="68"/>
  <c r="B7" i="68"/>
  <c r="E23" i="69"/>
  <c r="T106" i="15" s="1"/>
  <c r="E22" i="69"/>
  <c r="R106" i="15" s="1"/>
  <c r="E21" i="69"/>
  <c r="D106" i="15" s="1"/>
  <c r="E20" i="69"/>
  <c r="P106" i="15" s="1"/>
  <c r="E19" i="69"/>
  <c r="N106" i="15" s="1"/>
  <c r="E18" i="69"/>
  <c r="K106" i="15" s="1"/>
  <c r="E17" i="69"/>
  <c r="E16" i="69"/>
  <c r="E15" i="69"/>
  <c r="E14" i="69"/>
  <c r="E13" i="69"/>
  <c r="E12" i="69"/>
  <c r="E11" i="69"/>
  <c r="E10" i="69"/>
  <c r="E9" i="69"/>
  <c r="C106" i="15" s="1"/>
  <c r="D25" i="69"/>
  <c r="D24" i="69"/>
  <c r="AD106" i="15" s="1"/>
  <c r="D23" i="69"/>
  <c r="S106" i="15" s="1"/>
  <c r="D22" i="69"/>
  <c r="Q106" i="15" s="1"/>
  <c r="D21" i="69"/>
  <c r="B106" i="15" s="1"/>
  <c r="D20" i="69"/>
  <c r="O106" i="15" s="1"/>
  <c r="B115" i="15" s="1"/>
  <c r="D19" i="69"/>
  <c r="M106" i="15" s="1"/>
  <c r="Y115" i="15" s="1"/>
  <c r="D18" i="69"/>
  <c r="J106" i="15" s="1"/>
  <c r="D17" i="69"/>
  <c r="L106" i="15" s="1"/>
  <c r="W115" i="15" s="1"/>
  <c r="D16" i="69"/>
  <c r="U106" i="15" s="1"/>
  <c r="D15" i="69"/>
  <c r="I106" i="15" s="1"/>
  <c r="L115" i="15" s="1"/>
  <c r="D14" i="69"/>
  <c r="H106" i="15" s="1"/>
  <c r="D13" i="69"/>
  <c r="G106" i="15" s="1"/>
  <c r="J115" i="15" s="1"/>
  <c r="D12" i="69"/>
  <c r="D11" i="69"/>
  <c r="F106" i="15" s="1"/>
  <c r="G115" i="15" s="1"/>
  <c r="B10" i="4"/>
  <c r="C18" i="4"/>
  <c r="C16" i="4"/>
  <c r="D18" i="4"/>
  <c r="D16" i="4"/>
  <c r="D14" i="4"/>
  <c r="E18" i="4"/>
  <c r="E16" i="4"/>
  <c r="B35" i="2" s="1"/>
  <c r="E14" i="4"/>
  <c r="B34" i="2" s="1"/>
  <c r="H16" i="4"/>
  <c r="H15" i="4"/>
  <c r="H14" i="4"/>
  <c r="H13" i="4"/>
  <c r="H12" i="4"/>
  <c r="C14" i="4"/>
  <c r="D10" i="69"/>
  <c r="E106" i="15" s="1"/>
  <c r="F115" i="15" s="1"/>
  <c r="D9" i="69"/>
  <c r="A106" i="15" s="1"/>
  <c r="A115" i="15" s="1"/>
  <c r="B102" i="13" l="1"/>
  <c r="K21" i="5"/>
  <c r="H12" i="5"/>
  <c r="J22" i="5"/>
  <c r="H22" i="14"/>
  <c r="H15" i="14"/>
  <c r="H29" i="14"/>
  <c r="J27" i="14" s="1"/>
  <c r="B10" i="14" s="1"/>
  <c r="I14" i="5"/>
  <c r="I15" i="5"/>
  <c r="H14" i="5"/>
  <c r="H15" i="5"/>
  <c r="J18" i="5"/>
  <c r="I13" i="5"/>
  <c r="B140" i="15"/>
  <c r="B136" i="15"/>
  <c r="B132" i="15"/>
  <c r="B128" i="15"/>
  <c r="B124" i="15"/>
  <c r="B139" i="15"/>
  <c r="B135" i="15"/>
  <c r="B131" i="15"/>
  <c r="B127" i="15"/>
  <c r="B123" i="15"/>
  <c r="B142" i="15"/>
  <c r="B138" i="15"/>
  <c r="B141" i="15"/>
  <c r="B130" i="15"/>
  <c r="B122" i="15"/>
  <c r="B137" i="15"/>
  <c r="B129" i="15"/>
  <c r="B134" i="15"/>
  <c r="B126" i="15"/>
  <c r="B133" i="15"/>
  <c r="B125" i="15"/>
  <c r="D142" i="15"/>
  <c r="D138" i="15"/>
  <c r="D134" i="15"/>
  <c r="D130" i="15"/>
  <c r="D126" i="15"/>
  <c r="D122" i="15"/>
  <c r="D141" i="15"/>
  <c r="D137" i="15"/>
  <c r="D133" i="15"/>
  <c r="D129" i="15"/>
  <c r="D125" i="15"/>
  <c r="D140" i="15"/>
  <c r="D136" i="15"/>
  <c r="D132" i="15"/>
  <c r="D128" i="15"/>
  <c r="D124" i="15"/>
  <c r="D131" i="15"/>
  <c r="D127" i="15"/>
  <c r="D139" i="15"/>
  <c r="D123" i="15"/>
  <c r="D135" i="15"/>
  <c r="I140" i="15"/>
  <c r="I136" i="15"/>
  <c r="I132" i="15"/>
  <c r="I128" i="15"/>
  <c r="I124" i="15"/>
  <c r="I139" i="15"/>
  <c r="I135" i="15"/>
  <c r="I131" i="15"/>
  <c r="I127" i="15"/>
  <c r="I123" i="15"/>
  <c r="I142" i="15"/>
  <c r="I138" i="15"/>
  <c r="I134" i="15"/>
  <c r="I130" i="15"/>
  <c r="I126" i="15"/>
  <c r="I122" i="15"/>
  <c r="I137" i="15"/>
  <c r="I133" i="15"/>
  <c r="I129" i="15"/>
  <c r="I141" i="15"/>
  <c r="I125" i="15"/>
  <c r="A141" i="15"/>
  <c r="A137" i="15"/>
  <c r="A133" i="15"/>
  <c r="A129" i="15"/>
  <c r="A125" i="15"/>
  <c r="A140" i="15"/>
  <c r="A136" i="15"/>
  <c r="A132" i="15"/>
  <c r="A128" i="15"/>
  <c r="A124" i="15"/>
  <c r="A135" i="15"/>
  <c r="A127" i="15"/>
  <c r="A142" i="15"/>
  <c r="A134" i="15"/>
  <c r="A126" i="15"/>
  <c r="A139" i="15"/>
  <c r="A131" i="15"/>
  <c r="A123" i="15"/>
  <c r="A138" i="15"/>
  <c r="A130" i="15"/>
  <c r="A122" i="15"/>
  <c r="C139" i="15"/>
  <c r="C135" i="15"/>
  <c r="C131" i="15"/>
  <c r="C127" i="15"/>
  <c r="C123" i="15"/>
  <c r="C142" i="15"/>
  <c r="C138" i="15"/>
  <c r="C134" i="15"/>
  <c r="C130" i="15"/>
  <c r="C126" i="15"/>
  <c r="C122" i="15"/>
  <c r="C141" i="15"/>
  <c r="C137" i="15"/>
  <c r="C133" i="15"/>
  <c r="C129" i="15"/>
  <c r="C125" i="15"/>
  <c r="C136" i="15"/>
  <c r="C132" i="15"/>
  <c r="C128" i="15"/>
  <c r="C140" i="15"/>
  <c r="C124" i="15"/>
  <c r="G141" i="15"/>
  <c r="G137" i="15"/>
  <c r="G133" i="15"/>
  <c r="G129" i="15"/>
  <c r="G125" i="15"/>
  <c r="G140" i="15"/>
  <c r="G136" i="15"/>
  <c r="G132" i="15"/>
  <c r="G128" i="15"/>
  <c r="G124" i="15"/>
  <c r="G139" i="15"/>
  <c r="G135" i="15"/>
  <c r="G131" i="15"/>
  <c r="G127" i="15"/>
  <c r="G123" i="15"/>
  <c r="G142" i="15"/>
  <c r="G126" i="15"/>
  <c r="G138" i="15"/>
  <c r="G122" i="15"/>
  <c r="G134" i="15"/>
  <c r="G130" i="15"/>
  <c r="N13" i="127"/>
  <c r="N15" i="127"/>
  <c r="O15" i="127" s="1"/>
  <c r="Q18" i="127"/>
  <c r="N19" i="127"/>
  <c r="J17" i="5"/>
  <c r="B98" i="13" s="1"/>
  <c r="D43" i="9"/>
  <c r="F43" i="9" s="1"/>
  <c r="Q16" i="127"/>
  <c r="N29" i="9" s="1"/>
  <c r="N17" i="127"/>
  <c r="O17" i="127" s="1"/>
  <c r="B50" i="13" s="1"/>
  <c r="C50" i="13" s="1"/>
  <c r="D50" i="13" s="1"/>
  <c r="Q20" i="127"/>
  <c r="N33" i="9" s="1"/>
  <c r="N21" i="127"/>
  <c r="O21" i="127" s="1"/>
  <c r="B54" i="13" s="1"/>
  <c r="C54" i="13" s="1"/>
  <c r="D54" i="13" s="1"/>
  <c r="I63" i="11"/>
  <c r="I59" i="11"/>
  <c r="H65" i="11"/>
  <c r="H61" i="11"/>
  <c r="H57" i="11"/>
  <c r="F63" i="11"/>
  <c r="F59" i="11"/>
  <c r="E65" i="11"/>
  <c r="E61" i="11"/>
  <c r="E56" i="11"/>
  <c r="F44" i="11"/>
  <c r="L51" i="11"/>
  <c r="N51" i="11" s="1"/>
  <c r="L47" i="11"/>
  <c r="N47" i="11" s="1"/>
  <c r="L43" i="11"/>
  <c r="N43" i="11" s="1"/>
  <c r="K49" i="11"/>
  <c r="M49" i="11" s="1"/>
  <c r="K45" i="11"/>
  <c r="M45" i="11" s="1"/>
  <c r="H50" i="11"/>
  <c r="H46" i="11"/>
  <c r="F51" i="11"/>
  <c r="F47" i="11"/>
  <c r="H49" i="11"/>
  <c r="F50" i="11"/>
  <c r="I60" i="11"/>
  <c r="H58" i="11"/>
  <c r="F58" i="11"/>
  <c r="F43" i="11"/>
  <c r="L48" i="11"/>
  <c r="N48" i="11" s="1"/>
  <c r="K50" i="11"/>
  <c r="M50" i="11" s="1"/>
  <c r="H51" i="11"/>
  <c r="F48" i="11"/>
  <c r="I62" i="11"/>
  <c r="I58" i="11"/>
  <c r="H64" i="11"/>
  <c r="H60" i="11"/>
  <c r="H56" i="11"/>
  <c r="F62" i="11"/>
  <c r="F57" i="11"/>
  <c r="E64" i="11"/>
  <c r="E60" i="11"/>
  <c r="E58" i="11"/>
  <c r="H44" i="11"/>
  <c r="L50" i="11"/>
  <c r="N50" i="11" s="1"/>
  <c r="L46" i="11"/>
  <c r="N46" i="11" s="1"/>
  <c r="L42" i="11"/>
  <c r="N42" i="11" s="1"/>
  <c r="K48" i="11"/>
  <c r="M48" i="11" s="1"/>
  <c r="K44" i="11"/>
  <c r="M44" i="11" s="1"/>
  <c r="H45" i="11"/>
  <c r="F46" i="11"/>
  <c r="I56" i="11"/>
  <c r="F64" i="11"/>
  <c r="E62" i="11"/>
  <c r="K46" i="11"/>
  <c r="M46" i="11" s="1"/>
  <c r="H42" i="11"/>
  <c r="I65" i="11"/>
  <c r="I61" i="11"/>
  <c r="I57" i="11"/>
  <c r="H63" i="11"/>
  <c r="H59" i="11"/>
  <c r="J59" i="11" s="1"/>
  <c r="F65" i="11"/>
  <c r="F61" i="11"/>
  <c r="F56" i="11"/>
  <c r="E63" i="11"/>
  <c r="E59" i="11"/>
  <c r="L49" i="11"/>
  <c r="N49" i="11" s="1"/>
  <c r="L45" i="11"/>
  <c r="N45" i="11" s="1"/>
  <c r="K51" i="11"/>
  <c r="M51" i="11" s="1"/>
  <c r="K47" i="11"/>
  <c r="M47" i="11" s="1"/>
  <c r="K42" i="11"/>
  <c r="M42" i="11" s="1"/>
  <c r="H48" i="11"/>
  <c r="H43" i="11"/>
  <c r="F49" i="11"/>
  <c r="F45" i="11"/>
  <c r="I64" i="11"/>
  <c r="H62" i="11"/>
  <c r="F60" i="11"/>
  <c r="E57" i="11"/>
  <c r="K43" i="11"/>
  <c r="M43" i="11" s="1"/>
  <c r="L44" i="11"/>
  <c r="N44" i="11" s="1"/>
  <c r="H47" i="11"/>
  <c r="F42" i="11"/>
  <c r="B32" i="2"/>
  <c r="C57" i="13"/>
  <c r="D8" i="8"/>
  <c r="D9" i="8"/>
  <c r="B33" i="2"/>
  <c r="C58" i="13"/>
  <c r="B36" i="2"/>
  <c r="D10" i="8"/>
  <c r="C59" i="13"/>
  <c r="C37" i="12"/>
  <c r="A51" i="13"/>
  <c r="Q13" i="127"/>
  <c r="Q14" i="127"/>
  <c r="O14" i="127"/>
  <c r="B47" i="13" s="1"/>
  <c r="C47" i="13" s="1"/>
  <c r="D47" i="13" s="1"/>
  <c r="Q15" i="127"/>
  <c r="N16" i="127"/>
  <c r="O16" i="127" s="1"/>
  <c r="B49" i="13" s="1"/>
  <c r="C36" i="12"/>
  <c r="A50" i="13"/>
  <c r="Q19" i="127"/>
  <c r="N20" i="127"/>
  <c r="O20" i="127" s="1"/>
  <c r="B53" i="13" s="1"/>
  <c r="C40" i="12"/>
  <c r="A54" i="13"/>
  <c r="C41" i="12"/>
  <c r="A55" i="13"/>
  <c r="C32" i="12"/>
  <c r="A46" i="13"/>
  <c r="A48" i="13"/>
  <c r="C34" i="12"/>
  <c r="Q17" i="127"/>
  <c r="N18" i="127"/>
  <c r="O18" i="127" s="1"/>
  <c r="B51" i="13" s="1"/>
  <c r="A52" i="13"/>
  <c r="C38" i="12"/>
  <c r="Q21" i="127"/>
  <c r="N22" i="127"/>
  <c r="O22" i="127" s="1"/>
  <c r="B55" i="13" s="1"/>
  <c r="O13" i="127"/>
  <c r="B46" i="13" s="1"/>
  <c r="C46" i="13" s="1"/>
  <c r="D46" i="13" s="1"/>
  <c r="C33" i="12"/>
  <c r="A47" i="13"/>
  <c r="A49" i="13"/>
  <c r="C35" i="12"/>
  <c r="N31" i="9"/>
  <c r="O19" i="127"/>
  <c r="B52" i="13" s="1"/>
  <c r="C39" i="12"/>
  <c r="A53" i="13"/>
  <c r="Q22" i="127"/>
  <c r="K22" i="5"/>
  <c r="B103" i="13"/>
  <c r="H8" i="14"/>
  <c r="I8" i="14" s="1"/>
  <c r="B16" i="14" s="1"/>
  <c r="D33" i="5"/>
  <c r="I39" i="14" s="1"/>
  <c r="K39" i="14" s="1"/>
  <c r="K41" i="14" s="1"/>
  <c r="B21" i="14" s="1"/>
  <c r="J19" i="5"/>
  <c r="H10" i="5"/>
  <c r="K16" i="5"/>
  <c r="B97" i="13"/>
  <c r="K23" i="5"/>
  <c r="B104" i="13"/>
  <c r="I10" i="5"/>
  <c r="H11" i="5"/>
  <c r="K18" i="5"/>
  <c r="B99" i="13"/>
  <c r="I11" i="5"/>
  <c r="N74" i="10"/>
  <c r="N70" i="10"/>
  <c r="N66" i="10"/>
  <c r="K74" i="10"/>
  <c r="K70" i="10"/>
  <c r="H73" i="10"/>
  <c r="H69" i="10"/>
  <c r="E73" i="10"/>
  <c r="E69" i="10"/>
  <c r="M75" i="10"/>
  <c r="M71" i="10"/>
  <c r="M67" i="10"/>
  <c r="J73" i="10"/>
  <c r="J69" i="10"/>
  <c r="G75" i="10"/>
  <c r="G71" i="10"/>
  <c r="G67" i="10"/>
  <c r="D73" i="10"/>
  <c r="D69" i="10"/>
  <c r="N73" i="10"/>
  <c r="N69" i="10"/>
  <c r="K66" i="10"/>
  <c r="K73" i="10"/>
  <c r="K69" i="10"/>
  <c r="H72" i="10"/>
  <c r="H68" i="10"/>
  <c r="E72" i="10"/>
  <c r="E68" i="10"/>
  <c r="M74" i="10"/>
  <c r="O74" i="10" s="1"/>
  <c r="M70" i="10"/>
  <c r="O70" i="10" s="1"/>
  <c r="J72" i="10"/>
  <c r="J68" i="10"/>
  <c r="G74" i="10"/>
  <c r="G70" i="10"/>
  <c r="G66" i="10"/>
  <c r="D72" i="10"/>
  <c r="D68" i="10"/>
  <c r="N68" i="10"/>
  <c r="K72" i="10"/>
  <c r="H75" i="10"/>
  <c r="H67" i="10"/>
  <c r="E75" i="10"/>
  <c r="E67" i="10"/>
  <c r="M69" i="10"/>
  <c r="J71" i="10"/>
  <c r="G73" i="10"/>
  <c r="I73" i="10" s="1"/>
  <c r="G69" i="10"/>
  <c r="I69" i="10" s="1"/>
  <c r="D71" i="10"/>
  <c r="N75" i="10"/>
  <c r="N67" i="10"/>
  <c r="M66" i="10"/>
  <c r="O66" i="10" s="1"/>
  <c r="N72" i="10"/>
  <c r="K68" i="10"/>
  <c r="H71" i="10"/>
  <c r="E71" i="10"/>
  <c r="M73" i="10"/>
  <c r="O73" i="10" s="1"/>
  <c r="J75" i="10"/>
  <c r="J67" i="10"/>
  <c r="D75" i="10"/>
  <c r="D67" i="10"/>
  <c r="N71" i="10"/>
  <c r="K75" i="10"/>
  <c r="E66" i="10"/>
  <c r="J70" i="10"/>
  <c r="D74" i="10"/>
  <c r="K71" i="10"/>
  <c r="H74" i="10"/>
  <c r="M72" i="10"/>
  <c r="O72" i="10" s="1"/>
  <c r="J66" i="10"/>
  <c r="D70" i="10"/>
  <c r="K67" i="10"/>
  <c r="H70" i="10"/>
  <c r="E74" i="10"/>
  <c r="M68" i="10"/>
  <c r="O68" i="10" s="1"/>
  <c r="G72" i="10"/>
  <c r="D66" i="10"/>
  <c r="H66" i="10"/>
  <c r="E70" i="10"/>
  <c r="J74" i="10"/>
  <c r="G68" i="10"/>
  <c r="I59" i="10"/>
  <c r="I55" i="10"/>
  <c r="H61" i="10"/>
  <c r="H57" i="10"/>
  <c r="H53" i="10"/>
  <c r="G59" i="10"/>
  <c r="G55" i="10"/>
  <c r="E61" i="10"/>
  <c r="E57" i="10"/>
  <c r="E53" i="10"/>
  <c r="I57" i="10"/>
  <c r="I53" i="10"/>
  <c r="H55" i="10"/>
  <c r="G57" i="10"/>
  <c r="G53" i="10"/>
  <c r="E55" i="10"/>
  <c r="I60" i="10"/>
  <c r="I56" i="10"/>
  <c r="I52" i="10"/>
  <c r="H58" i="10"/>
  <c r="H54" i="10"/>
  <c r="G60" i="10"/>
  <c r="G56" i="10"/>
  <c r="G52" i="10"/>
  <c r="E58" i="10"/>
  <c r="E54" i="10"/>
  <c r="I58" i="10"/>
  <c r="I54" i="10"/>
  <c r="H60" i="10"/>
  <c r="H56" i="10"/>
  <c r="H52" i="10"/>
  <c r="G58" i="10"/>
  <c r="G54" i="10"/>
  <c r="E60" i="10"/>
  <c r="E56" i="10"/>
  <c r="E52" i="10"/>
  <c r="I61" i="10"/>
  <c r="H59" i="10"/>
  <c r="G61" i="10"/>
  <c r="E59" i="10"/>
  <c r="B38" i="2"/>
  <c r="C60" i="13"/>
  <c r="D12" i="8"/>
  <c r="D11" i="8"/>
  <c r="B37" i="2"/>
  <c r="C64" i="13"/>
  <c r="B17" i="15"/>
  <c r="D17" i="15" s="1"/>
  <c r="E12" i="12"/>
  <c r="B13" i="15" s="1"/>
  <c r="D13" i="15" s="1"/>
  <c r="B24" i="15"/>
  <c r="D24" i="15" s="1"/>
  <c r="H13" i="14"/>
  <c r="H20" i="14"/>
  <c r="D50" i="15"/>
  <c r="C66" i="15" s="1"/>
  <c r="P14" i="127" l="1"/>
  <c r="K17" i="5"/>
  <c r="B48" i="13"/>
  <c r="C48" i="13" s="1"/>
  <c r="D48" i="13" s="1"/>
  <c r="P15" i="127"/>
  <c r="D34" i="12" s="1"/>
  <c r="P20" i="127"/>
  <c r="P22" i="127"/>
  <c r="D41" i="12" s="1"/>
  <c r="P21" i="127"/>
  <c r="D40" i="12" s="1"/>
  <c r="P19" i="127"/>
  <c r="D38" i="12" s="1"/>
  <c r="P16" i="127"/>
  <c r="P18" i="127"/>
  <c r="D37" i="12" s="1"/>
  <c r="P17" i="127"/>
  <c r="P13" i="127"/>
  <c r="D32" i="12" s="1"/>
  <c r="O42" i="11"/>
  <c r="Q42" i="11" s="1"/>
  <c r="D21" i="12" s="1"/>
  <c r="O46" i="11"/>
  <c r="Q46" i="11" s="1"/>
  <c r="D25" i="12" s="1"/>
  <c r="J13" i="14"/>
  <c r="B17" i="14" s="1"/>
  <c r="J63" i="11"/>
  <c r="D35" i="12"/>
  <c r="D33" i="12"/>
  <c r="D36" i="12"/>
  <c r="J14" i="5"/>
  <c r="B95" i="13" s="1"/>
  <c r="I68" i="10"/>
  <c r="O47" i="11"/>
  <c r="R47" i="11" s="1"/>
  <c r="B24" i="13" s="1"/>
  <c r="J62" i="11"/>
  <c r="O43" i="11"/>
  <c r="I72" i="10"/>
  <c r="F75" i="10"/>
  <c r="J20" i="14"/>
  <c r="B18" i="14" s="1"/>
  <c r="F66" i="10"/>
  <c r="L70" i="10"/>
  <c r="F67" i="10"/>
  <c r="O69" i="10"/>
  <c r="F72" i="10"/>
  <c r="F69" i="10"/>
  <c r="O50" i="11"/>
  <c r="R50" i="11" s="1"/>
  <c r="B30" i="13" s="1"/>
  <c r="B31" i="13" s="1"/>
  <c r="C31" i="13" s="1"/>
  <c r="J56" i="11"/>
  <c r="O51" i="11"/>
  <c r="R51" i="11" s="1"/>
  <c r="B32" i="13" s="1"/>
  <c r="B33" i="13" s="1"/>
  <c r="C33" i="13" s="1"/>
  <c r="J60" i="11"/>
  <c r="O48" i="11"/>
  <c r="R48" i="11" s="1"/>
  <c r="B26" i="13" s="1"/>
  <c r="B27" i="13" s="1"/>
  <c r="C27" i="13" s="1"/>
  <c r="G46" i="11"/>
  <c r="I46" i="11"/>
  <c r="C58" i="11"/>
  <c r="G58" i="11"/>
  <c r="J58" i="11"/>
  <c r="I47" i="11"/>
  <c r="G47" i="11"/>
  <c r="O45" i="11"/>
  <c r="C65" i="11"/>
  <c r="G65" i="11"/>
  <c r="J61" i="11"/>
  <c r="I42" i="11"/>
  <c r="G42" i="11"/>
  <c r="C59" i="11"/>
  <c r="G59" i="11"/>
  <c r="K59" i="11" s="1"/>
  <c r="C62" i="11"/>
  <c r="G62" i="11"/>
  <c r="C60" i="11"/>
  <c r="G60" i="11"/>
  <c r="G51" i="11"/>
  <c r="I51" i="11"/>
  <c r="O49" i="11"/>
  <c r="G44" i="11"/>
  <c r="I44" i="11"/>
  <c r="J65" i="11"/>
  <c r="G45" i="11"/>
  <c r="I45" i="11"/>
  <c r="C63" i="11"/>
  <c r="G63" i="11"/>
  <c r="O44" i="11"/>
  <c r="C64" i="11"/>
  <c r="G64" i="11"/>
  <c r="G48" i="11"/>
  <c r="I48" i="11"/>
  <c r="I43" i="11"/>
  <c r="G43" i="11"/>
  <c r="I50" i="11"/>
  <c r="G50" i="11"/>
  <c r="C56" i="11"/>
  <c r="G56" i="11"/>
  <c r="C57" i="11"/>
  <c r="G57" i="11"/>
  <c r="G49" i="11"/>
  <c r="I49" i="11"/>
  <c r="J64" i="11"/>
  <c r="C61" i="11"/>
  <c r="G61" i="11"/>
  <c r="J57" i="11"/>
  <c r="D14" i="8"/>
  <c r="N30" i="9"/>
  <c r="N28" i="9"/>
  <c r="N26" i="9"/>
  <c r="N32" i="9"/>
  <c r="C52" i="13"/>
  <c r="D52" i="13" s="1"/>
  <c r="C55" i="13"/>
  <c r="D55" i="13" s="1"/>
  <c r="C53" i="13"/>
  <c r="D53" i="13" s="1"/>
  <c r="N34" i="9"/>
  <c r="N35" i="9"/>
  <c r="C51" i="13"/>
  <c r="D51" i="13" s="1"/>
  <c r="D39" i="12"/>
  <c r="C49" i="13"/>
  <c r="D49" i="13" s="1"/>
  <c r="N27" i="9"/>
  <c r="F71" i="10"/>
  <c r="L68" i="10"/>
  <c r="Q68" i="10"/>
  <c r="B114" i="13" s="1"/>
  <c r="I71" i="10"/>
  <c r="O67" i="10"/>
  <c r="J11" i="5"/>
  <c r="J13" i="5"/>
  <c r="B94" i="13" s="1"/>
  <c r="J10" i="5"/>
  <c r="H25" i="5"/>
  <c r="K19" i="5"/>
  <c r="B100" i="13"/>
  <c r="J15" i="5"/>
  <c r="B96" i="13" s="1"/>
  <c r="I25" i="5"/>
  <c r="J12" i="5"/>
  <c r="B93" i="13" s="1"/>
  <c r="Q73" i="10"/>
  <c r="F56" i="10"/>
  <c r="J56" i="10"/>
  <c r="K56" i="10" s="1"/>
  <c r="H30" i="9" s="1"/>
  <c r="L74" i="10"/>
  <c r="Q66" i="10"/>
  <c r="Q71" i="10"/>
  <c r="Q67" i="10"/>
  <c r="I66" i="10"/>
  <c r="L72" i="10"/>
  <c r="Q72" i="10"/>
  <c r="I75" i="10"/>
  <c r="O71" i="10"/>
  <c r="F59" i="10"/>
  <c r="J59" i="10"/>
  <c r="K59" i="10" s="1"/>
  <c r="H33" i="9" s="1"/>
  <c r="F55" i="10"/>
  <c r="J55" i="10"/>
  <c r="K55" i="10" s="1"/>
  <c r="H29" i="9" s="1"/>
  <c r="F54" i="10"/>
  <c r="J54" i="10"/>
  <c r="K54" i="10" s="1"/>
  <c r="H28" i="9" s="1"/>
  <c r="F53" i="10"/>
  <c r="J53" i="10"/>
  <c r="K53" i="10" s="1"/>
  <c r="H27" i="9" s="1"/>
  <c r="Q70" i="10"/>
  <c r="F70" i="10"/>
  <c r="L67" i="10"/>
  <c r="Q75" i="10"/>
  <c r="I70" i="10"/>
  <c r="L66" i="10"/>
  <c r="F73" i="10"/>
  <c r="L69" i="10"/>
  <c r="O75" i="10"/>
  <c r="F52" i="10"/>
  <c r="J52" i="10"/>
  <c r="K52" i="10" s="1"/>
  <c r="H26" i="9" s="1"/>
  <c r="F61" i="10"/>
  <c r="J61" i="10"/>
  <c r="K61" i="10" s="1"/>
  <c r="H35" i="9" s="1"/>
  <c r="F60" i="10"/>
  <c r="J60" i="10"/>
  <c r="K60" i="10" s="1"/>
  <c r="H34" i="9" s="1"/>
  <c r="F58" i="10"/>
  <c r="J58" i="10"/>
  <c r="K58" i="10" s="1"/>
  <c r="H32" i="9" s="1"/>
  <c r="F57" i="10"/>
  <c r="J57" i="10"/>
  <c r="K57" i="10" s="1"/>
  <c r="H31" i="9" s="1"/>
  <c r="Q74" i="10"/>
  <c r="F74" i="10"/>
  <c r="L75" i="10"/>
  <c r="L71" i="10"/>
  <c r="F68" i="10"/>
  <c r="I74" i="10"/>
  <c r="I67" i="10"/>
  <c r="L73" i="10"/>
  <c r="Q69" i="10"/>
  <c r="D51" i="15"/>
  <c r="C67" i="15" s="1"/>
  <c r="D64" i="15"/>
  <c r="R42" i="11" l="1"/>
  <c r="B14" i="13" s="1"/>
  <c r="B15" i="13" s="1"/>
  <c r="C15" i="13" s="1"/>
  <c r="B14" i="2"/>
  <c r="C14" i="2" s="1"/>
  <c r="R46" i="11"/>
  <c r="B22" i="13" s="1"/>
  <c r="B23" i="13" s="1"/>
  <c r="C23" i="13" s="1"/>
  <c r="K63" i="11"/>
  <c r="H15" i="3" s="1"/>
  <c r="P72" i="10"/>
  <c r="E14" i="3" s="1"/>
  <c r="Q47" i="11"/>
  <c r="D26" i="12" s="1"/>
  <c r="P67" i="10"/>
  <c r="B36" i="13" s="1"/>
  <c r="P71" i="10"/>
  <c r="B40" i="13" s="1"/>
  <c r="K60" i="11"/>
  <c r="C26" i="2" s="1"/>
  <c r="D26" i="2" s="1"/>
  <c r="K62" i="11"/>
  <c r="H14" i="3" s="1"/>
  <c r="K58" i="11"/>
  <c r="C24" i="2" s="1"/>
  <c r="D24" i="2" s="1"/>
  <c r="P68" i="10"/>
  <c r="B37" i="13" s="1"/>
  <c r="P69" i="10"/>
  <c r="E11" i="3" s="1"/>
  <c r="P66" i="10"/>
  <c r="E8" i="3" s="1"/>
  <c r="Q50" i="11"/>
  <c r="D29" i="12" s="1"/>
  <c r="K56" i="11"/>
  <c r="H8" i="3" s="1"/>
  <c r="G55" i="13"/>
  <c r="Q51" i="11"/>
  <c r="D30" i="12" s="1"/>
  <c r="Q48" i="11"/>
  <c r="D27" i="12" s="1"/>
  <c r="K61" i="11"/>
  <c r="H13" i="3" s="1"/>
  <c r="K57" i="11"/>
  <c r="H9" i="3" s="1"/>
  <c r="K65" i="11"/>
  <c r="H17" i="3" s="1"/>
  <c r="K64" i="11"/>
  <c r="C30" i="2" s="1"/>
  <c r="D30" i="2" s="1"/>
  <c r="J48" i="11"/>
  <c r="K32" i="9" s="1"/>
  <c r="P48" i="11"/>
  <c r="J44" i="11"/>
  <c r="K28" i="9" s="1"/>
  <c r="P44" i="11"/>
  <c r="R44" i="11" s="1"/>
  <c r="B18" i="13" s="1"/>
  <c r="B19" i="13" s="1"/>
  <c r="C19" i="13" s="1"/>
  <c r="J47" i="11"/>
  <c r="K31" i="9" s="1"/>
  <c r="P47" i="11"/>
  <c r="J50" i="11"/>
  <c r="K34" i="9" s="1"/>
  <c r="P50" i="11"/>
  <c r="J45" i="11"/>
  <c r="K29" i="9" s="1"/>
  <c r="P45" i="11"/>
  <c r="H11" i="3"/>
  <c r="C25" i="2"/>
  <c r="D25" i="2" s="1"/>
  <c r="C67" i="11"/>
  <c r="J49" i="11"/>
  <c r="K33" i="9" s="1"/>
  <c r="P49" i="11"/>
  <c r="R49" i="11"/>
  <c r="B28" i="13" s="1"/>
  <c r="B29" i="13" s="1"/>
  <c r="C29" i="13" s="1"/>
  <c r="Q49" i="11"/>
  <c r="D28" i="12" s="1"/>
  <c r="P42" i="11"/>
  <c r="J42" i="11"/>
  <c r="K26" i="9" s="1"/>
  <c r="R45" i="11"/>
  <c r="B20" i="13" s="1"/>
  <c r="B21" i="13" s="1"/>
  <c r="C21" i="13" s="1"/>
  <c r="Q45" i="11"/>
  <c r="D24" i="12" s="1"/>
  <c r="J46" i="11"/>
  <c r="K30" i="9" s="1"/>
  <c r="P46" i="11"/>
  <c r="P43" i="11"/>
  <c r="J43" i="11"/>
  <c r="K27" i="9" s="1"/>
  <c r="J51" i="11"/>
  <c r="K35" i="9" s="1"/>
  <c r="P51" i="11"/>
  <c r="B25" i="13"/>
  <c r="C25" i="13" s="1"/>
  <c r="D48" i="9"/>
  <c r="F48" i="9" s="1"/>
  <c r="N37" i="9"/>
  <c r="P75" i="10"/>
  <c r="E17" i="3" s="1"/>
  <c r="P74" i="10"/>
  <c r="B43" i="13" s="1"/>
  <c r="K10" i="5"/>
  <c r="K25" i="5" s="1"/>
  <c r="B91" i="13"/>
  <c r="J25" i="5"/>
  <c r="K33" i="5" s="1"/>
  <c r="B92" i="13"/>
  <c r="D46" i="9"/>
  <c r="F46" i="9" s="1"/>
  <c r="H37" i="9"/>
  <c r="P73" i="10"/>
  <c r="Q77" i="10"/>
  <c r="B15" i="15" s="1"/>
  <c r="D15" i="15" s="1"/>
  <c r="B112" i="13"/>
  <c r="B12" i="2"/>
  <c r="C12" i="2" s="1"/>
  <c r="B119" i="13"/>
  <c r="B19" i="2"/>
  <c r="C19" i="2" s="1"/>
  <c r="P70" i="10"/>
  <c r="B113" i="13"/>
  <c r="B13" i="2"/>
  <c r="C13" i="2" s="1"/>
  <c r="B116" i="13"/>
  <c r="B16" i="2"/>
  <c r="C16" i="2" s="1"/>
  <c r="B117" i="13"/>
  <c r="B17" i="2"/>
  <c r="C17" i="2" s="1"/>
  <c r="B18" i="2"/>
  <c r="C18" i="2" s="1"/>
  <c r="B118" i="13"/>
  <c r="B115" i="13"/>
  <c r="B15" i="2"/>
  <c r="C15" i="2" s="1"/>
  <c r="B120" i="13"/>
  <c r="B20" i="2"/>
  <c r="C20" i="2" s="1"/>
  <c r="B121" i="13"/>
  <c r="B21" i="2"/>
  <c r="C21" i="2" s="1"/>
  <c r="D52" i="15"/>
  <c r="C68" i="15" s="1"/>
  <c r="D65" i="15"/>
  <c r="E64" i="15"/>
  <c r="I34" i="14" l="1"/>
  <c r="K34" i="14" s="1"/>
  <c r="B19" i="14" s="1"/>
  <c r="C31" i="14" s="1"/>
  <c r="Q44" i="11"/>
  <c r="D23" i="12" s="1"/>
  <c r="C29" i="2"/>
  <c r="D29" i="2" s="1"/>
  <c r="E10" i="3"/>
  <c r="B41" i="13"/>
  <c r="C41" i="13" s="1"/>
  <c r="D41" i="13" s="1"/>
  <c r="B38" i="13"/>
  <c r="C38" i="13" s="1"/>
  <c r="D38" i="13" s="1"/>
  <c r="E9" i="3"/>
  <c r="E13" i="3"/>
  <c r="H12" i="3"/>
  <c r="B35" i="13"/>
  <c r="C35" i="13" s="1"/>
  <c r="D35" i="13" s="1"/>
  <c r="C28" i="2"/>
  <c r="D28" i="2" s="1"/>
  <c r="C22" i="2"/>
  <c r="D22" i="2" s="1"/>
  <c r="H10" i="3"/>
  <c r="C23" i="2"/>
  <c r="D23" i="2" s="1"/>
  <c r="B44" i="13"/>
  <c r="E16" i="3"/>
  <c r="C27" i="2"/>
  <c r="D27" i="2" s="1"/>
  <c r="C31" i="2"/>
  <c r="D31" i="2" s="1"/>
  <c r="H16" i="3"/>
  <c r="K37" i="9"/>
  <c r="D47" i="9"/>
  <c r="F47" i="9" s="1"/>
  <c r="F50" i="9" s="1"/>
  <c r="Q43" i="11"/>
  <c r="D22" i="12" s="1"/>
  <c r="D43" i="12" s="1"/>
  <c r="B9" i="13" s="1"/>
  <c r="B10" i="13" s="1"/>
  <c r="R43" i="11"/>
  <c r="B16" i="13" s="1"/>
  <c r="B17" i="13" s="1"/>
  <c r="C17" i="13" s="1"/>
  <c r="E33" i="13" s="1"/>
  <c r="B21" i="15"/>
  <c r="D21" i="15" s="1"/>
  <c r="D27" i="15" s="1"/>
  <c r="D31" i="15" s="1"/>
  <c r="D32" i="15" s="1"/>
  <c r="D34" i="15" s="1"/>
  <c r="K35" i="5"/>
  <c r="C14" i="14"/>
  <c r="D106" i="13"/>
  <c r="K31" i="5"/>
  <c r="K29" i="5"/>
  <c r="A10" i="14" s="1"/>
  <c r="C10" i="14" s="1"/>
  <c r="B39" i="13"/>
  <c r="E12" i="3"/>
  <c r="D158" i="13"/>
  <c r="C40" i="13"/>
  <c r="D40" i="13" s="1"/>
  <c r="C43" i="13"/>
  <c r="D43" i="13" s="1"/>
  <c r="C37" i="13"/>
  <c r="D37" i="13" s="1"/>
  <c r="B42" i="13"/>
  <c r="E15" i="3"/>
  <c r="C36" i="13"/>
  <c r="D36" i="13" s="1"/>
  <c r="C44" i="13"/>
  <c r="D44" i="13" s="1"/>
  <c r="D53" i="15"/>
  <c r="C69" i="15" s="1"/>
  <c r="D54" i="15" s="1"/>
  <c r="F64" i="15"/>
  <c r="G64" i="15" s="1"/>
  <c r="D66" i="15"/>
  <c r="E65" i="15"/>
  <c r="C33" i="14" l="1"/>
  <c r="C35" i="14" s="1"/>
  <c r="D160" i="13"/>
  <c r="B7" i="2"/>
  <c r="B11" i="13"/>
  <c r="B12" i="13" s="1"/>
  <c r="C12" i="13" s="1"/>
  <c r="E12" i="13" s="1"/>
  <c r="B6" i="2"/>
  <c r="I18" i="7"/>
  <c r="AB106" i="15" s="1"/>
  <c r="C42" i="13"/>
  <c r="D42" i="13" s="1"/>
  <c r="C39" i="13"/>
  <c r="D39" i="13" s="1"/>
  <c r="F65" i="15"/>
  <c r="C70" i="15"/>
  <c r="D55" i="15" s="1"/>
  <c r="H64" i="15"/>
  <c r="D67" i="15"/>
  <c r="E66" i="15"/>
  <c r="E44" i="13" l="1"/>
  <c r="E57" i="13" s="1"/>
  <c r="C72" i="13" s="1"/>
  <c r="C74" i="13" s="1"/>
  <c r="C76" i="13" s="1"/>
  <c r="C80" i="13" s="1"/>
  <c r="C82" i="13" s="1"/>
  <c r="C86" i="13" s="1"/>
  <c r="D162" i="13" s="1"/>
  <c r="I19" i="7"/>
  <c r="AC106" i="15" s="1"/>
  <c r="G65" i="15"/>
  <c r="F66" i="15"/>
  <c r="C71" i="15"/>
  <c r="D68" i="15"/>
  <c r="E67" i="15"/>
  <c r="G66" i="15" l="1"/>
  <c r="H66" i="15" s="1"/>
  <c r="H65" i="15"/>
  <c r="F67" i="15"/>
  <c r="C72" i="15"/>
  <c r="D69" i="15"/>
  <c r="E68" i="15"/>
  <c r="G67" i="15" l="1"/>
  <c r="C73" i="15"/>
  <c r="C74" i="15" s="1"/>
  <c r="F68" i="15"/>
  <c r="D70" i="15"/>
  <c r="D71" i="15" s="1"/>
  <c r="E69" i="15"/>
  <c r="G68" i="15" l="1"/>
  <c r="H68" i="15" s="1"/>
  <c r="H67" i="15"/>
  <c r="F69" i="15"/>
  <c r="D72" i="15"/>
  <c r="D73" i="15" s="1"/>
  <c r="E70" i="15"/>
  <c r="G69" i="15" l="1"/>
  <c r="H69" i="15" s="1"/>
  <c r="F70" i="15"/>
  <c r="E71" i="15"/>
  <c r="C77" i="15"/>
  <c r="D74" i="15"/>
  <c r="G70" i="15" l="1"/>
  <c r="H70" i="15" s="1"/>
  <c r="F71" i="15"/>
  <c r="D77" i="15"/>
  <c r="E72" i="15"/>
  <c r="E73" i="15" s="1"/>
  <c r="G71" i="15" l="1"/>
  <c r="F72" i="15"/>
  <c r="E74" i="15"/>
  <c r="E77" i="15" s="1"/>
  <c r="G72" i="15" l="1"/>
  <c r="H72" i="15" s="1"/>
  <c r="H71" i="15"/>
  <c r="F73" i="15"/>
  <c r="G73" i="15" l="1"/>
  <c r="H73" i="15" s="1"/>
  <c r="F74" i="15"/>
  <c r="G74" i="15" l="1"/>
  <c r="G77" i="15" s="1"/>
  <c r="F77" i="15"/>
  <c r="H78" i="15" l="1"/>
  <c r="H74" i="15"/>
  <c r="H77" i="15" s="1"/>
</calcChain>
</file>

<file path=xl/comments1.xml><?xml version="1.0" encoding="utf-8"?>
<comments xmlns="http://schemas.openxmlformats.org/spreadsheetml/2006/main">
  <authors>
    <author>Author</author>
  </authors>
  <commentList>
    <comment ref="G6" authorId="0" shapeId="0">
      <text>
        <r>
          <rPr>
            <b/>
            <sz val="9"/>
            <color indexed="81"/>
            <rFont val="Tahoma"/>
            <family val="2"/>
          </rPr>
          <t>Author:</t>
        </r>
        <r>
          <rPr>
            <sz val="9"/>
            <color indexed="81"/>
            <rFont val="Tahoma"/>
            <family val="2"/>
          </rPr>
          <t xml:space="preserve">
ConsultConverte1r.xlsx MUST BE OPEN TO RUN THIS MACRO</t>
        </r>
      </text>
    </comment>
  </commentList>
</comments>
</file>

<file path=xl/comments2.xml><?xml version="1.0" encoding="utf-8"?>
<comments xmlns="http://schemas.openxmlformats.org/spreadsheetml/2006/main">
  <authors>
    <author>Author</author>
  </authors>
  <commentList>
    <comment ref="AC8" authorId="0" shapeId="0">
      <text>
        <r>
          <rPr>
            <b/>
            <sz val="8"/>
            <color indexed="81"/>
            <rFont val="Tahoma"/>
            <family val="2"/>
          </rPr>
          <t>Author:</t>
        </r>
        <r>
          <rPr>
            <sz val="8"/>
            <color indexed="81"/>
            <rFont val="Tahoma"/>
            <family val="2"/>
          </rPr>
          <t xml:space="preserve">
The part of this that is actually social security income should be subtracted from the gross income for a determination of the medium income test</t>
        </r>
      </text>
    </comment>
  </commentList>
</comments>
</file>

<file path=xl/comments3.xml><?xml version="1.0" encoding="utf-8"?>
<comments xmlns="http://schemas.openxmlformats.org/spreadsheetml/2006/main">
  <authors>
    <author>Author</author>
  </authors>
  <commentList>
    <comment ref="A7" authorId="0" shapeId="0">
      <text>
        <r>
          <rPr>
            <b/>
            <sz val="8"/>
            <color indexed="81"/>
            <rFont val="Tahoma"/>
            <family val="2"/>
          </rPr>
          <t>Author:</t>
        </r>
        <r>
          <rPr>
            <sz val="8"/>
            <color indexed="81"/>
            <rFont val="Tahoma"/>
            <family val="2"/>
          </rPr>
          <t xml:space="preserve">
Use Control+O for this one
</t>
        </r>
      </text>
    </comment>
  </commentList>
</comments>
</file>

<file path=xl/comments4.xml><?xml version="1.0" encoding="utf-8"?>
<comments xmlns="http://schemas.openxmlformats.org/spreadsheetml/2006/main">
  <authors>
    <author>Author</author>
  </authors>
  <commentList>
    <comment ref="AB6" authorId="0" shapeId="0">
      <text>
        <r>
          <rPr>
            <b/>
            <sz val="8"/>
            <color indexed="81"/>
            <rFont val="Tahoma"/>
            <family val="2"/>
          </rPr>
          <t>Author:</t>
        </r>
        <r>
          <rPr>
            <sz val="8"/>
            <color indexed="81"/>
            <rFont val="Tahoma"/>
            <family val="2"/>
          </rPr>
          <t xml:space="preserve">
Use Control+Q Here
</t>
        </r>
      </text>
    </comment>
    <comment ref="A7" authorId="0" shapeId="0">
      <text>
        <r>
          <rPr>
            <b/>
            <sz val="8"/>
            <color indexed="81"/>
            <rFont val="Tahoma"/>
            <family val="2"/>
          </rPr>
          <t>Author:</t>
        </r>
        <r>
          <rPr>
            <sz val="8"/>
            <color indexed="81"/>
            <rFont val="Tahoma"/>
            <family val="2"/>
          </rPr>
          <t xml:space="preserve">
Use Control+Q Here
</t>
        </r>
      </text>
    </comment>
    <comment ref="AC9" authorId="0" shapeId="0">
      <text>
        <r>
          <rPr>
            <b/>
            <sz val="8"/>
            <color indexed="81"/>
            <rFont val="Tahoma"/>
            <family val="2"/>
          </rPr>
          <t>Author:</t>
        </r>
        <r>
          <rPr>
            <sz val="8"/>
            <color indexed="81"/>
            <rFont val="Tahoma"/>
            <family val="2"/>
          </rPr>
          <t xml:space="preserve">
Put Sale Price in this Box
</t>
        </r>
      </text>
    </comment>
    <comment ref="B10" authorId="0" shapeId="0">
      <text>
        <r>
          <rPr>
            <b/>
            <sz val="8"/>
            <color indexed="81"/>
            <rFont val="Tahoma"/>
            <family val="2"/>
          </rPr>
          <t>Author:</t>
        </r>
        <r>
          <rPr>
            <sz val="8"/>
            <color indexed="81"/>
            <rFont val="Tahoma"/>
            <family val="2"/>
          </rPr>
          <t xml:space="preserve">
Put Sale Price in this Box
</t>
        </r>
      </text>
    </comment>
    <comment ref="A81" authorId="0" shapeId="0">
      <text>
        <r>
          <rPr>
            <b/>
            <sz val="9"/>
            <color indexed="81"/>
            <rFont val="Tahoma"/>
            <family val="2"/>
          </rPr>
          <t xml:space="preserve">tide guy: </t>
        </r>
        <r>
          <rPr>
            <sz val="9"/>
            <color indexed="81"/>
            <rFont val="Tahoma"/>
            <family val="2"/>
          </rPr>
          <t xml:space="preserve">
Look to see what last invoice number was in the software, then add 1 to it</t>
        </r>
      </text>
    </comment>
    <comment ref="B81" authorId="0" shapeId="0">
      <text>
        <r>
          <rPr>
            <b/>
            <sz val="9"/>
            <color indexed="81"/>
            <rFont val="Tahoma"/>
            <family val="2"/>
          </rPr>
          <t>Author:</t>
        </r>
        <r>
          <rPr>
            <sz val="9"/>
            <color indexed="81"/>
            <rFont val="Tahoma"/>
            <family val="2"/>
          </rPr>
          <t xml:space="preserve">
Look at payment agreement or client agreement for this</t>
        </r>
      </text>
    </comment>
    <comment ref="C81" authorId="0" shapeId="0">
      <text>
        <r>
          <rPr>
            <b/>
            <sz val="9"/>
            <color indexed="81"/>
            <rFont val="Tahoma"/>
            <family val="2"/>
          </rPr>
          <t>Author:</t>
        </r>
        <r>
          <rPr>
            <sz val="9"/>
            <color indexed="81"/>
            <rFont val="Tahoma"/>
            <family val="2"/>
          </rPr>
          <t xml:space="preserve">
Look at Payment Agreement or Client Agreement for this
it will be the same for all lines - it is the total amount of the payment</t>
        </r>
      </text>
    </comment>
    <comment ref="E81" authorId="0" shapeId="0">
      <text>
        <r>
          <rPr>
            <b/>
            <sz val="9"/>
            <color indexed="81"/>
            <rFont val="Tahoma"/>
            <family val="2"/>
          </rPr>
          <t>Author:</t>
        </r>
        <r>
          <rPr>
            <sz val="9"/>
            <color indexed="81"/>
            <rFont val="Tahoma"/>
            <family val="2"/>
          </rPr>
          <t xml:space="preserve">
Look Above at the Payment Calculator for this</t>
        </r>
      </text>
    </comment>
    <comment ref="A110" authorId="0" shapeId="0">
      <text>
        <r>
          <rPr>
            <b/>
            <sz val="8"/>
            <color indexed="81"/>
            <rFont val="Tahoma"/>
            <family val="2"/>
          </rPr>
          <t>Author:</t>
        </r>
        <r>
          <rPr>
            <sz val="8"/>
            <color indexed="81"/>
            <rFont val="Tahoma"/>
            <family val="2"/>
          </rPr>
          <t xml:space="preserve">
Use Control+q with this one</t>
        </r>
      </text>
    </comment>
    <comment ref="C111" authorId="0" shapeId="0">
      <text>
        <r>
          <rPr>
            <b/>
            <sz val="9"/>
            <color indexed="81"/>
            <rFont val="Tahoma"/>
            <family val="2"/>
          </rPr>
          <t>Author:</t>
        </r>
        <r>
          <rPr>
            <sz val="9"/>
            <color indexed="81"/>
            <rFont val="Tahoma"/>
            <family val="2"/>
          </rPr>
          <t xml:space="preserve">
DO A TEXT TO COLUMN HERE TO PUT THE FIRST AND LAST NAME INTO THE RIGHT PLACE
</t>
        </r>
      </text>
    </comment>
    <comment ref="A119" authorId="0" shapeId="0">
      <text>
        <r>
          <rPr>
            <b/>
            <sz val="9"/>
            <color indexed="81"/>
            <rFont val="Tahoma"/>
            <family val="2"/>
          </rPr>
          <t>Author:</t>
        </r>
        <r>
          <rPr>
            <sz val="9"/>
            <color indexed="81"/>
            <rFont val="Tahoma"/>
            <family val="2"/>
          </rPr>
          <t xml:space="preserve">
After copying and pasting the values into the CSV template, you need to format the dates in mm/dd/yyyy format (doesn't have to have an 0 in front) for the exact number of rows you are importing - if you go past the bottom of the filled lines, xero will think you are trying to import that row too and will throw an error. Also, you need to format the exact number of account number as 2 decimals (like 401.00). After you have imported into Xero, come back and open the CSV and delete everything and re-format back to general so it will be ready for the next time</t>
        </r>
      </text>
    </comment>
    <comment ref="K121" authorId="0" shapeId="0">
      <text>
        <r>
          <rPr>
            <b/>
            <sz val="9"/>
            <color indexed="81"/>
            <rFont val="Tahoma"/>
            <family val="2"/>
          </rPr>
          <t xml:space="preserve">tide guy: </t>
        </r>
        <r>
          <rPr>
            <sz val="9"/>
            <color indexed="81"/>
            <rFont val="Tahoma"/>
            <family val="2"/>
          </rPr>
          <t xml:space="preserve">
Look to see what last invoice number was in the software, then add 1 to it</t>
        </r>
      </text>
    </comment>
    <comment ref="N121" authorId="0" shapeId="0">
      <text>
        <r>
          <rPr>
            <b/>
            <sz val="9"/>
            <color indexed="81"/>
            <rFont val="Tahoma"/>
            <family val="2"/>
          </rPr>
          <t>Author:</t>
        </r>
        <r>
          <rPr>
            <sz val="9"/>
            <color indexed="81"/>
            <rFont val="Tahoma"/>
            <family val="2"/>
          </rPr>
          <t xml:space="preserve">
Look at payment agreement or client agreement for this</t>
        </r>
      </text>
    </comment>
    <comment ref="O121" authorId="0" shapeId="0">
      <text>
        <r>
          <rPr>
            <b/>
            <sz val="9"/>
            <color indexed="81"/>
            <rFont val="Tahoma"/>
            <family val="2"/>
          </rPr>
          <t>Author:</t>
        </r>
        <r>
          <rPr>
            <sz val="9"/>
            <color indexed="81"/>
            <rFont val="Tahoma"/>
            <family val="2"/>
          </rPr>
          <t xml:space="preserve">
Look at Payment Agreement or Client Agreement for this
it will be the same for all lines - it is the total amount of the payment</t>
        </r>
      </text>
    </comment>
    <comment ref="S121" authorId="0" shapeId="0">
      <text>
        <r>
          <rPr>
            <b/>
            <sz val="9"/>
            <color indexed="81"/>
            <rFont val="Tahoma"/>
            <family val="2"/>
          </rPr>
          <t>Author:</t>
        </r>
        <r>
          <rPr>
            <sz val="9"/>
            <color indexed="81"/>
            <rFont val="Tahoma"/>
            <family val="2"/>
          </rPr>
          <t xml:space="preserve">
Look Above at the Payment Calculator for this</t>
        </r>
      </text>
    </comment>
    <comment ref="AD151" authorId="0" shapeId="0">
      <text>
        <r>
          <rPr>
            <b/>
            <sz val="8"/>
            <color indexed="81"/>
            <rFont val="Tahoma"/>
            <family val="2"/>
          </rPr>
          <t>Author:</t>
        </r>
        <r>
          <rPr>
            <sz val="8"/>
            <color indexed="81"/>
            <rFont val="Tahoma"/>
            <family val="2"/>
          </rPr>
          <t xml:space="preserve">
Must run the Combiner after running the macro, then you can do the transport to the datapump
</t>
        </r>
      </text>
    </comment>
    <comment ref="AD152" authorId="0" shapeId="0">
      <text>
        <r>
          <rPr>
            <b/>
            <sz val="8"/>
            <color indexed="81"/>
            <rFont val="Tahoma"/>
            <family val="2"/>
          </rPr>
          <t>Author:</t>
        </r>
        <r>
          <rPr>
            <sz val="8"/>
            <color indexed="81"/>
            <rFont val="Tahoma"/>
            <family val="2"/>
          </rPr>
          <t xml:space="preserve">
Make this macro Control+Y
</t>
        </r>
      </text>
    </comment>
  </commentList>
</comments>
</file>

<file path=xl/sharedStrings.xml><?xml version="1.0" encoding="utf-8"?>
<sst xmlns="http://schemas.openxmlformats.org/spreadsheetml/2006/main" count="1339" uniqueCount="896">
  <si>
    <t>Coble, Dolly</t>
  </si>
  <si>
    <t>Balance</t>
  </si>
  <si>
    <t>Bank Account</t>
  </si>
  <si>
    <t>Jefferson</t>
  </si>
  <si>
    <t>Yes</t>
  </si>
  <si>
    <t>Joint</t>
  </si>
  <si>
    <t>MaritalStatus</t>
  </si>
  <si>
    <t>Businesses</t>
  </si>
  <si>
    <t>Aliases</t>
  </si>
  <si>
    <t>SSN</t>
  </si>
  <si>
    <t>EMail</t>
  </si>
  <si>
    <t>CellPhone</t>
  </si>
  <si>
    <t>WorkPhone</t>
  </si>
  <si>
    <t>HomePhone</t>
  </si>
  <si>
    <t>County</t>
  </si>
  <si>
    <t>Zip</t>
  </si>
  <si>
    <t>State</t>
  </si>
  <si>
    <t>City</t>
  </si>
  <si>
    <t>MailingAddress</t>
  </si>
  <si>
    <t>Address2</t>
  </si>
  <si>
    <t>Address1</t>
  </si>
  <si>
    <t>FullName</t>
  </si>
  <si>
    <t>OtherDebts</t>
  </si>
  <si>
    <t>ChildSupportArrearage</t>
  </si>
  <si>
    <t>StudentLoans</t>
  </si>
  <si>
    <t>SignatureLoans</t>
  </si>
  <si>
    <t>TitlePawns</t>
  </si>
  <si>
    <t>PayDayLoans</t>
  </si>
  <si>
    <t>Medical</t>
  </si>
  <si>
    <t>StoreChargeCards</t>
  </si>
  <si>
    <t>CreditCards</t>
  </si>
  <si>
    <t>LawsuitsCosSuingYou</t>
  </si>
  <si>
    <t>ForeclosureDate</t>
  </si>
  <si>
    <t>ForeclosureMortCo</t>
  </si>
  <si>
    <t>RepoWhat</t>
  </si>
  <si>
    <t>RepoWho</t>
  </si>
  <si>
    <t>UtilityAmtNeeded</t>
  </si>
  <si>
    <t>UtilityDateOfThreatenedCutoff</t>
  </si>
  <si>
    <t>UtilityCo</t>
  </si>
  <si>
    <t>OtherExpenseTypes</t>
  </si>
  <si>
    <t>OtherExpenses</t>
  </si>
  <si>
    <t>BizExpenses</t>
  </si>
  <si>
    <t>DependantsNotAtHome</t>
  </si>
  <si>
    <t>AlimonySupport</t>
  </si>
  <si>
    <t>OtherInstallmentPmts</t>
  </si>
  <si>
    <t>InstallmentAutoPmts</t>
  </si>
  <si>
    <t>OtherTaxes</t>
  </si>
  <si>
    <t>OtherInsTypes</t>
  </si>
  <si>
    <t>OtherIns</t>
  </si>
  <si>
    <t>AutoIns</t>
  </si>
  <si>
    <t>HealthIns</t>
  </si>
  <si>
    <t>LifeIns</t>
  </si>
  <si>
    <t>HomeOwnersRentersIns</t>
  </si>
  <si>
    <t>Charity</t>
  </si>
  <si>
    <t>Recreation</t>
  </si>
  <si>
    <t>Transportation</t>
  </si>
  <si>
    <t>MedicalDental</t>
  </si>
  <si>
    <t>Laundry</t>
  </si>
  <si>
    <t>Clothing</t>
  </si>
  <si>
    <t>Food</t>
  </si>
  <si>
    <t>HomeMaint</t>
  </si>
  <si>
    <t>OtherUtilities</t>
  </si>
  <si>
    <t>Phone</t>
  </si>
  <si>
    <t>WaterSewer</t>
  </si>
  <si>
    <t>Power</t>
  </si>
  <si>
    <t>Rent</t>
  </si>
  <si>
    <t>MortIncludeIns</t>
  </si>
  <si>
    <t>MortIncludeRETax</t>
  </si>
  <si>
    <t>RentBuying</t>
  </si>
  <si>
    <t>First</t>
  </si>
  <si>
    <t>No</t>
  </si>
  <si>
    <t>Second</t>
  </si>
  <si>
    <t>LotRentPmtsBehind</t>
  </si>
  <si>
    <t>LotRentBehind</t>
  </si>
  <si>
    <t>LotRentPmts</t>
  </si>
  <si>
    <t>LotRent</t>
  </si>
  <si>
    <t>MortgageCo</t>
  </si>
  <si>
    <t>PmtsBehind</t>
  </si>
  <si>
    <t>Behind</t>
  </si>
  <si>
    <t>MonthlyPmt</t>
  </si>
  <si>
    <t>AmountOwed</t>
  </si>
  <si>
    <t>Priority</t>
  </si>
  <si>
    <t>PropertyAddress</t>
  </si>
  <si>
    <t>NoOfDependants</t>
  </si>
  <si>
    <t>Change10PercentWhy</t>
  </si>
  <si>
    <t>Change10Percent</t>
  </si>
  <si>
    <t>OtherMonthlyInc</t>
  </si>
  <si>
    <t>MonthlyPensionRetInc</t>
  </si>
  <si>
    <t>TypeOtherGovSupport</t>
  </si>
  <si>
    <t>OtherGovSupport</t>
  </si>
  <si>
    <t>SS</t>
  </si>
  <si>
    <t>MonthlyIncFromAlimony</t>
  </si>
  <si>
    <t>MonthlyIncFromIntDivs</t>
  </si>
  <si>
    <t>MonthlyIncFromRent</t>
  </si>
  <si>
    <t>MonthlyIncFromSelfEmp</t>
  </si>
  <si>
    <t>OtherDedList</t>
  </si>
  <si>
    <t>OtherDed</t>
  </si>
  <si>
    <t>UnionDuesDed</t>
  </si>
  <si>
    <t>InsDed</t>
  </si>
  <si>
    <t>TaxesDed</t>
  </si>
  <si>
    <t>EstimatedOT</t>
  </si>
  <si>
    <t>HowOftenReceived</t>
  </si>
  <si>
    <t>GrossPay</t>
  </si>
  <si>
    <t>SpouseYearBorn</t>
  </si>
  <si>
    <t>YearBorn</t>
  </si>
  <si>
    <t>Smartphone</t>
  </si>
  <si>
    <t>Internet</t>
  </si>
  <si>
    <t>Cable</t>
  </si>
  <si>
    <t>RelatedBKs</t>
  </si>
  <si>
    <t>PriorBKs</t>
  </si>
  <si>
    <t>PeopleYouAreSuing</t>
  </si>
  <si>
    <t>PeopleWhoOweYouMoney</t>
  </si>
  <si>
    <t>OtherProperty</t>
  </si>
  <si>
    <t>StocksMutualFunds</t>
  </si>
  <si>
    <t>IRAs</t>
  </si>
  <si>
    <t>FarmingSupplies</t>
  </si>
  <si>
    <t>FarmingEquip</t>
  </si>
  <si>
    <t>Crops</t>
  </si>
  <si>
    <t>Livestock</t>
  </si>
  <si>
    <t>Inventory</t>
  </si>
  <si>
    <t>MachineryEquip</t>
  </si>
  <si>
    <t>OfficeEquip</t>
  </si>
  <si>
    <t>AirCraft</t>
  </si>
  <si>
    <t>IntellectualProperty</t>
  </si>
  <si>
    <t>OtherContingent</t>
  </si>
  <si>
    <t>Trusts</t>
  </si>
  <si>
    <t>Estates</t>
  </si>
  <si>
    <t>FutureInterestsLifeEstates</t>
  </si>
  <si>
    <t>OtherLiquidatedAmountsOwed</t>
  </si>
  <si>
    <t>FamilySupport</t>
  </si>
  <si>
    <t>AccountsRec</t>
  </si>
  <si>
    <t>GovCorpBonds</t>
  </si>
  <si>
    <t>BizInterestsUnInc</t>
  </si>
  <si>
    <t>PensionProfitSharing</t>
  </si>
  <si>
    <t>Annuities</t>
  </si>
  <si>
    <t>LifeTermWhole</t>
  </si>
  <si>
    <t>FirearmsSportsHobby</t>
  </si>
  <si>
    <t>Jewelry</t>
  </si>
  <si>
    <t>BooksPicsColl</t>
  </si>
  <si>
    <t>SecurityDeposits</t>
  </si>
  <si>
    <t>Mortgage</t>
  </si>
  <si>
    <t>PrincipalResidence</t>
  </si>
  <si>
    <t>MobileHomeDimensions</t>
  </si>
  <si>
    <t>MobileHomeMakeModel</t>
  </si>
  <si>
    <t>LandBeneath</t>
  </si>
  <si>
    <t>ValueBasis</t>
  </si>
  <si>
    <t>Value</t>
  </si>
  <si>
    <t>Keep</t>
  </si>
  <si>
    <t>MobileHome</t>
  </si>
  <si>
    <t>Purchasing</t>
  </si>
  <si>
    <t>TypeOfProperty</t>
  </si>
  <si>
    <t>GoodsRentingList</t>
  </si>
  <si>
    <t>AmtBehind</t>
  </si>
  <si>
    <t>TimeLeftOnContract</t>
  </si>
  <si>
    <t>Rent2OwnCo</t>
  </si>
  <si>
    <t>Pre2000</t>
  </si>
  <si>
    <t>Yr2000</t>
  </si>
  <si>
    <t>Yr2001</t>
  </si>
  <si>
    <t>Yr2002</t>
  </si>
  <si>
    <t>Yr2003</t>
  </si>
  <si>
    <t>Yr2004</t>
  </si>
  <si>
    <t>Yr2005</t>
  </si>
  <si>
    <t>Yr2006</t>
  </si>
  <si>
    <t>Yr2007</t>
  </si>
  <si>
    <t>Yr2008</t>
  </si>
  <si>
    <t>Yr2009</t>
  </si>
  <si>
    <t>Yr2010</t>
  </si>
  <si>
    <t>Yr2011</t>
  </si>
  <si>
    <t>Yr2012</t>
  </si>
  <si>
    <t>Other</t>
  </si>
  <si>
    <t>TFRP</t>
  </si>
  <si>
    <t>CorpTaxes</t>
  </si>
  <si>
    <t>PayrollTaxes</t>
  </si>
  <si>
    <t>IndividualTaxes</t>
  </si>
  <si>
    <t>LoanCo</t>
  </si>
  <si>
    <t>LoanPurpose</t>
  </si>
  <si>
    <t>BehindNoOfPmts</t>
  </si>
  <si>
    <t>WhenLoanTakenOut</t>
  </si>
  <si>
    <t>Pmt</t>
  </si>
  <si>
    <t>PaidFor</t>
  </si>
  <si>
    <t>MakeModelYr</t>
  </si>
  <si>
    <t>Mileage</t>
  </si>
  <si>
    <t>WhoseName</t>
  </si>
  <si>
    <t>EverInName</t>
  </si>
  <si>
    <t>InName</t>
  </si>
  <si>
    <t>Type</t>
  </si>
  <si>
    <t>Alerts</t>
  </si>
  <si>
    <t>Arrears</t>
  </si>
  <si>
    <t>Income</t>
  </si>
  <si>
    <t>Expenses</t>
  </si>
  <si>
    <t>Marketing</t>
  </si>
  <si>
    <t>Non-Discharge</t>
  </si>
  <si>
    <t>Unsecured</t>
  </si>
  <si>
    <t>Vehicles</t>
  </si>
  <si>
    <t>Real Property</t>
  </si>
  <si>
    <t>Equity</t>
  </si>
  <si>
    <t>C-13</t>
  </si>
  <si>
    <t>Means Test</t>
  </si>
  <si>
    <t>Accounting</t>
  </si>
  <si>
    <t>John's Input</t>
  </si>
  <si>
    <t>Tables</t>
  </si>
  <si>
    <t>SQL Sections</t>
  </si>
  <si>
    <t>IRS</t>
  </si>
  <si>
    <t>ADOR</t>
  </si>
  <si>
    <t>OTHER TAXES</t>
  </si>
  <si>
    <t>Amount Owed</t>
  </si>
  <si>
    <t>Lien?</t>
  </si>
  <si>
    <t>Money Owed?</t>
  </si>
  <si>
    <t>Types of Taxes</t>
  </si>
  <si>
    <t>Tax Years</t>
  </si>
  <si>
    <t>Client</t>
  </si>
  <si>
    <t>Basic Info</t>
  </si>
  <si>
    <t>Debt Summary</t>
  </si>
  <si>
    <t>Back Taxes</t>
  </si>
  <si>
    <t>Misc</t>
  </si>
  <si>
    <t>Rent to Own</t>
  </si>
  <si>
    <t>Emergencies</t>
  </si>
  <si>
    <t>Debtor</t>
  </si>
  <si>
    <t>Spouse</t>
  </si>
  <si>
    <t>CollateralList</t>
  </si>
  <si>
    <t>CollateralValue</t>
  </si>
  <si>
    <t>TimeSinceLoan</t>
  </si>
  <si>
    <t>AmtPastDue</t>
  </si>
  <si>
    <t>PastDue</t>
  </si>
  <si>
    <t>AmtOwed</t>
  </si>
  <si>
    <t>Creditor</t>
  </si>
  <si>
    <t>Notes</t>
  </si>
  <si>
    <t>Non-Vehicle Secured</t>
  </si>
  <si>
    <t>Values</t>
  </si>
  <si>
    <t>Retail</t>
  </si>
  <si>
    <t>Trade-In</t>
  </si>
  <si>
    <t>Keep/Surrender</t>
  </si>
  <si>
    <t>Non-Vehicle Collateral</t>
  </si>
  <si>
    <t>Race</t>
  </si>
  <si>
    <t>Gender</t>
  </si>
  <si>
    <t>Housing</t>
  </si>
  <si>
    <t>Black</t>
  </si>
  <si>
    <t>White</t>
  </si>
  <si>
    <t>Hispanic</t>
  </si>
  <si>
    <t>Asian</t>
  </si>
  <si>
    <t>Mixed</t>
  </si>
  <si>
    <t>Male</t>
  </si>
  <si>
    <t>Female</t>
  </si>
  <si>
    <t>Couple</t>
  </si>
  <si>
    <t>Renter</t>
  </si>
  <si>
    <t>Homeowner</t>
  </si>
  <si>
    <t>Surrender</t>
  </si>
  <si>
    <t>Property Address</t>
  </si>
  <si>
    <t>Equity Line of Credit</t>
  </si>
  <si>
    <t>Total Encumbrance</t>
  </si>
  <si>
    <t xml:space="preserve">Equity after 1st </t>
  </si>
  <si>
    <t>Total Equity</t>
  </si>
  <si>
    <t>Third</t>
  </si>
  <si>
    <t>Monthly Payment - 1st</t>
  </si>
  <si>
    <t>Monthly Payment - 2nd</t>
  </si>
  <si>
    <t>Monthly Payment - 3rd</t>
  </si>
  <si>
    <t>Monthly Payment - LOC</t>
  </si>
  <si>
    <t>Pmts Behind - 1st</t>
  </si>
  <si>
    <t>Pmts Behind - 2nd</t>
  </si>
  <si>
    <t>Pmts Behind - 3rd</t>
  </si>
  <si>
    <t>Pmts Behind - LOC</t>
  </si>
  <si>
    <t>Arrearage Amt - 1st</t>
  </si>
  <si>
    <t>Arrearage Amt - 2nd</t>
  </si>
  <si>
    <t>Arrearage Amt - 3rd</t>
  </si>
  <si>
    <t>Arrearage Amt - LOC</t>
  </si>
  <si>
    <t>Total Arrearage</t>
  </si>
  <si>
    <t xml:space="preserve">Equity after  </t>
  </si>
  <si>
    <t xml:space="preserve"> 1st Lien</t>
  </si>
  <si>
    <t>Total Liens</t>
  </si>
  <si>
    <t>Cram Down Available</t>
  </si>
  <si>
    <t>Cram Down - 910</t>
  </si>
  <si>
    <t>Cram Down  - Other</t>
  </si>
  <si>
    <t>910</t>
  </si>
  <si>
    <t>Crammed Down Amount</t>
  </si>
  <si>
    <t>Amount</t>
  </si>
  <si>
    <t>Secured</t>
  </si>
  <si>
    <t>First - Pmts</t>
  </si>
  <si>
    <t>First Pmts Behind</t>
  </si>
  <si>
    <t xml:space="preserve">First Amount </t>
  </si>
  <si>
    <t>Second - Pmts</t>
  </si>
  <si>
    <t>Second Pmts Behind</t>
  </si>
  <si>
    <t xml:space="preserve">Second Amount </t>
  </si>
  <si>
    <t>Cram Down</t>
  </si>
  <si>
    <t>Available</t>
  </si>
  <si>
    <t>Collateral</t>
  </si>
  <si>
    <t>Portion</t>
  </si>
  <si>
    <t>Equity from Other Personal</t>
  </si>
  <si>
    <t>Equity from Household Goods</t>
  </si>
  <si>
    <t>Equity from Bank Accounts</t>
  </si>
  <si>
    <t>Household Good</t>
  </si>
  <si>
    <t>Equity in Real Property</t>
  </si>
  <si>
    <t>Equity in Vehicles</t>
  </si>
  <si>
    <t>Equity in Non-Vehicle Collateral</t>
  </si>
  <si>
    <t xml:space="preserve">Non-Vehicle </t>
  </si>
  <si>
    <t>Arrerage</t>
  </si>
  <si>
    <t>Credit Cards</t>
  </si>
  <si>
    <t>Charge Cards</t>
  </si>
  <si>
    <t>Payroll Advance</t>
  </si>
  <si>
    <t>Signature Loans</t>
  </si>
  <si>
    <t>Other Debts</t>
  </si>
  <si>
    <t>Chapter 7 Dischargeable</t>
  </si>
  <si>
    <t>Non-Vehicle Unsecured</t>
  </si>
  <si>
    <t>Income Analyzer</t>
  </si>
  <si>
    <t>Totals</t>
  </si>
  <si>
    <t>Pay Period Multiplier</t>
  </si>
  <si>
    <t>Gross Paycheck</t>
  </si>
  <si>
    <t>Estimated Overtime</t>
  </si>
  <si>
    <t>Payroll Taxes</t>
  </si>
  <si>
    <t>Insurance</t>
  </si>
  <si>
    <t>Union Dues</t>
  </si>
  <si>
    <t>Other Deductions</t>
  </si>
  <si>
    <t>Monthly Self-Employment Income</t>
  </si>
  <si>
    <t>Monthly Rental Income</t>
  </si>
  <si>
    <t>Monthly Int &amp; Div Income</t>
  </si>
  <si>
    <t>Monthly Alimony, Support</t>
  </si>
  <si>
    <t>Retirement Income</t>
  </si>
  <si>
    <t>Other Income</t>
  </si>
  <si>
    <t>X12</t>
  </si>
  <si>
    <t>Annual - No SS</t>
  </si>
  <si>
    <t>Monthly - No SS</t>
  </si>
  <si>
    <t>Other Gov Assistance</t>
  </si>
  <si>
    <t xml:space="preserve">SS </t>
  </si>
  <si>
    <t>Medium Income Calc</t>
  </si>
  <si>
    <t>Monthly</t>
  </si>
  <si>
    <t>Student Loan Payments</t>
  </si>
  <si>
    <t>Payments on Credit Cards</t>
  </si>
  <si>
    <t>Payments on Payday Loans</t>
  </si>
  <si>
    <t>Payments on Title Pawns</t>
  </si>
  <si>
    <t>Payments on Signature Loans</t>
  </si>
  <si>
    <t>Birthday</t>
  </si>
  <si>
    <t>Spouse Birthday</t>
  </si>
  <si>
    <t>Expense</t>
  </si>
  <si>
    <t>One Person</t>
  </si>
  <si>
    <t>Two Persons</t>
  </si>
  <si>
    <t>Three Persons</t>
  </si>
  <si>
    <t>Four Persons</t>
  </si>
  <si>
    <t xml:space="preserve">Food </t>
  </si>
  <si>
    <t>Housekeeping supplies</t>
  </si>
  <si>
    <t>Apparel &amp; services</t>
  </si>
  <si>
    <t>Personal care products &amp; services</t>
  </si>
  <si>
    <t>Miscellaneous</t>
  </si>
  <si>
    <t>Total</t>
  </si>
  <si>
    <t>More than four persons</t>
  </si>
  <si>
    <t>Additional Persons Amount</t>
  </si>
  <si>
    <t>For each additional person, add to four-person total allowance:</t>
  </si>
  <si>
    <t>Out of Pocket Costs</t>
  </si>
  <si>
    <t>Under 65</t>
  </si>
  <si>
    <t>65 and Older</t>
  </si>
  <si>
    <t>1 earner</t>
  </si>
  <si>
    <t>Family Size</t>
  </si>
  <si>
    <t>2 People</t>
  </si>
  <si>
    <t>3 People</t>
  </si>
  <si>
    <r>
      <t xml:space="preserve">4 People </t>
    </r>
    <r>
      <rPr>
        <b/>
        <sz val="10"/>
        <color indexed="10"/>
        <rFont val="Arial"/>
        <family val="2"/>
      </rPr>
      <t>*</t>
    </r>
  </si>
  <si>
    <t>Alabama</t>
  </si>
  <si>
    <t>Alaska</t>
  </si>
  <si>
    <t>Arizona</t>
  </si>
  <si>
    <t>Arkansas</t>
  </si>
  <si>
    <t>California</t>
  </si>
  <si>
    <t>Colorado</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</si>
  <si>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</si>
  <si>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</si>
  <si>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</si>
  <si>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</si>
  <si>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</si>
  <si>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</si>
  <si>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</si>
  <si>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</si>
  <si>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</si>
  <si>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</si>
  <si>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</si>
  <si>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</si>
  <si>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</si>
  <si>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</si>
  <si>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</si>
  <si>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</si>
  <si>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</si>
  <si>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</si>
  <si>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</si>
  <si>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</si>
  <si>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</si>
  <si>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</si>
  <si>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</si>
  <si>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</si>
  <si>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</si>
  <si>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</si>
  <si>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</si>
  <si>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</si>
  <si>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</si>
  <si>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</si>
  <si>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</si>
  <si>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</si>
  <si>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</si>
  <si>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</si>
  <si>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</si>
  <si>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</si>
  <si>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</si>
  <si>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</si>
  <si>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</si>
  <si>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</si>
  <si>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</si>
  <si>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</si>
  <si>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</si>
  <si>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</si>
  <si>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</si>
  <si>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r>
      <t>*</t>
    </r>
    <r>
      <rPr>
        <sz val="10"/>
        <rFont val="Arial"/>
        <family val="2"/>
      </rPr>
      <t xml:space="preserve"> For cases filed on or before March 31, 2013, add $7,500 for each individual in excess of 4. 
   </t>
    </r>
  </si>
  <si>
    <t xml:space="preserve">  For cases filed on or after April 1, 2013, add $8,100 for each individual in excess of 4.</t>
  </si>
  <si>
    <t>Family Size and Expense Type</t>
  </si>
  <si>
    <t>1 Person</t>
  </si>
  <si>
    <t>4 People</t>
  </si>
  <si>
    <t>5 or More People</t>
  </si>
  <si>
    <t>FIPS Code</t>
  </si>
  <si>
    <t>Non-</t>
  </si>
  <si>
    <t>Mortgage/</t>
  </si>
  <si>
    <t>Autauga County</t>
  </si>
  <si>
    <t>Baldwin County</t>
  </si>
  <si>
    <t>Barbour County</t>
  </si>
  <si>
    <t>Bibb County</t>
  </si>
  <si>
    <t>Blount County</t>
  </si>
  <si>
    <t>Bullock County</t>
  </si>
  <si>
    <t>Butler County</t>
  </si>
  <si>
    <t>Calhoun County</t>
  </si>
  <si>
    <t>Chambers County</t>
  </si>
  <si>
    <t>Cherokee County</t>
  </si>
  <si>
    <t>Chilton County</t>
  </si>
  <si>
    <t>Choctaw County</t>
  </si>
  <si>
    <t>Clarke County</t>
  </si>
  <si>
    <t>Clay County</t>
  </si>
  <si>
    <t>Cleburne County</t>
  </si>
  <si>
    <t>Coffee County</t>
  </si>
  <si>
    <t>Colbert County</t>
  </si>
  <si>
    <t>Conecuh County</t>
  </si>
  <si>
    <t>Coosa County</t>
  </si>
  <si>
    <t>Covington County</t>
  </si>
  <si>
    <t>Crenshaw County</t>
  </si>
  <si>
    <t>Cullman County</t>
  </si>
  <si>
    <t>Dale County</t>
  </si>
  <si>
    <t>Dallas County</t>
  </si>
  <si>
    <t>DeKalb County</t>
  </si>
  <si>
    <t>Elmore County</t>
  </si>
  <si>
    <t>Escambia County</t>
  </si>
  <si>
    <t>Etowah County</t>
  </si>
  <si>
    <t>Fayette County</t>
  </si>
  <si>
    <t>Franklin County</t>
  </si>
  <si>
    <t>Geneva County</t>
  </si>
  <si>
    <t>Greene County</t>
  </si>
  <si>
    <t>Hale County</t>
  </si>
  <si>
    <t>Henry County</t>
  </si>
  <si>
    <t>Houston County</t>
  </si>
  <si>
    <t>Jackson County</t>
  </si>
  <si>
    <t>Jefferson County</t>
  </si>
  <si>
    <t>Lamar County</t>
  </si>
  <si>
    <t>Lauderdale County</t>
  </si>
  <si>
    <t>Lawrence County</t>
  </si>
  <si>
    <t>Lee County</t>
  </si>
  <si>
    <t>Limestone County</t>
  </si>
  <si>
    <t>Lowndes County</t>
  </si>
  <si>
    <t>Macon County</t>
  </si>
  <si>
    <t>Madison County</t>
  </si>
  <si>
    <t>Marengo County</t>
  </si>
  <si>
    <t>Marion County</t>
  </si>
  <si>
    <t>Marshall County</t>
  </si>
  <si>
    <t>Mobile County</t>
  </si>
  <si>
    <t>Monroe County</t>
  </si>
  <si>
    <t>Montgomery County</t>
  </si>
  <si>
    <t>Morgan County</t>
  </si>
  <si>
    <t>Perry County</t>
  </si>
  <si>
    <t>Pickens County</t>
  </si>
  <si>
    <t>Pike County</t>
  </si>
  <si>
    <t>Randolph County</t>
  </si>
  <si>
    <t>Russell County</t>
  </si>
  <si>
    <t>St. Clair County</t>
  </si>
  <si>
    <t>Shelby County</t>
  </si>
  <si>
    <t>Sumter County</t>
  </si>
  <si>
    <t>Talladega County</t>
  </si>
  <si>
    <t>Tallapoosa County</t>
  </si>
  <si>
    <t>Tuscaloosa County</t>
  </si>
  <si>
    <t>Walker County</t>
  </si>
  <si>
    <t>Washington County</t>
  </si>
  <si>
    <t>Wilcox County</t>
  </si>
  <si>
    <t>Winston County</t>
  </si>
  <si>
    <t>Public Transportation Costs</t>
  </si>
  <si>
    <t>(Line 22, Form 22A)</t>
  </si>
  <si>
    <t>(Line 27, Form 22C)</t>
  </si>
  <si>
    <t>National</t>
  </si>
  <si>
    <t>Operating Costs</t>
  </si>
  <si>
    <t>Region</t>
  </si>
  <si>
    <t>One Car</t>
  </si>
  <si>
    <t>Two Cars</t>
  </si>
  <si>
    <t>South Region</t>
  </si>
  <si>
    <t>MSA Locations Within Census Region:</t>
  </si>
  <si>
    <t>Atlanta</t>
  </si>
  <si>
    <t>Baltimore</t>
  </si>
  <si>
    <t>Dallas-Ft. Worth</t>
  </si>
  <si>
    <t>Houston</t>
  </si>
  <si>
    <t>Miami</t>
  </si>
  <si>
    <t>Washington, D.C.</t>
  </si>
  <si>
    <t>Ownership Costs</t>
  </si>
  <si>
    <t>(Lines 23 and 24, Form 22A)</t>
  </si>
  <si>
    <t>(Lines 28 and 29, Form 22C)</t>
  </si>
  <si>
    <t>HH Size</t>
  </si>
  <si>
    <t>Amt</t>
  </si>
  <si>
    <t>Number in HH 65 &amp; Older</t>
  </si>
  <si>
    <t>65 &amp; Older</t>
  </si>
  <si>
    <t>Age</t>
  </si>
  <si>
    <t>Med Ded</t>
  </si>
  <si>
    <t>Have You Lived in AL for the last 3 years</t>
  </si>
  <si>
    <t>National Standard Expenses</t>
  </si>
  <si>
    <t>House Payments</t>
  </si>
  <si>
    <t>Autauga</t>
  </si>
  <si>
    <t>Baldwin</t>
  </si>
  <si>
    <t>Barbour</t>
  </si>
  <si>
    <t>Bibb</t>
  </si>
  <si>
    <t>Blount</t>
  </si>
  <si>
    <t>Bullock</t>
  </si>
  <si>
    <t>Butler</t>
  </si>
  <si>
    <t>Calhoun</t>
  </si>
  <si>
    <t>Chambers</t>
  </si>
  <si>
    <t>Cherokee</t>
  </si>
  <si>
    <t>Chilton</t>
  </si>
  <si>
    <t>Choctaw</t>
  </si>
  <si>
    <t>Clarke</t>
  </si>
  <si>
    <t>Clay</t>
  </si>
  <si>
    <t>Cleburne</t>
  </si>
  <si>
    <t>Coffee</t>
  </si>
  <si>
    <t>Colbert</t>
  </si>
  <si>
    <t>Conecuh</t>
  </si>
  <si>
    <t>Coosa</t>
  </si>
  <si>
    <t>Covington</t>
  </si>
  <si>
    <t>Crenshaw</t>
  </si>
  <si>
    <t>Cullman</t>
  </si>
  <si>
    <t>Dale</t>
  </si>
  <si>
    <t>Dallas</t>
  </si>
  <si>
    <t>DeKalb</t>
  </si>
  <si>
    <t>Elmore</t>
  </si>
  <si>
    <t>Escambia</t>
  </si>
  <si>
    <t>Etowah</t>
  </si>
  <si>
    <t>Fayette</t>
  </si>
  <si>
    <t>Franklin</t>
  </si>
  <si>
    <t>Geneva</t>
  </si>
  <si>
    <t>Greene</t>
  </si>
  <si>
    <t>Hale</t>
  </si>
  <si>
    <t>Henry</t>
  </si>
  <si>
    <t>Jackson</t>
  </si>
  <si>
    <t>Lamar</t>
  </si>
  <si>
    <t>Lauderdale</t>
  </si>
  <si>
    <t>Lawrence</t>
  </si>
  <si>
    <t>Lee</t>
  </si>
  <si>
    <t>Limestone</t>
  </si>
  <si>
    <t>Lowndes</t>
  </si>
  <si>
    <t>Macon</t>
  </si>
  <si>
    <t>Madison</t>
  </si>
  <si>
    <t>Marengo</t>
  </si>
  <si>
    <t>Marion</t>
  </si>
  <si>
    <t>Marshall</t>
  </si>
  <si>
    <t>Mobile</t>
  </si>
  <si>
    <t>Monroe</t>
  </si>
  <si>
    <t>Montgomery</t>
  </si>
  <si>
    <t>Morgan</t>
  </si>
  <si>
    <t>Perry</t>
  </si>
  <si>
    <t>Pickens</t>
  </si>
  <si>
    <t>Pike</t>
  </si>
  <si>
    <t>Randolph</t>
  </si>
  <si>
    <t>Russell</t>
  </si>
  <si>
    <t>Shelby</t>
  </si>
  <si>
    <t>Sumter</t>
  </si>
  <si>
    <t>Talladega</t>
  </si>
  <si>
    <t>Tallapoosa</t>
  </si>
  <si>
    <t>Tuscaloosa</t>
  </si>
  <si>
    <t>Walker</t>
  </si>
  <si>
    <t>Wilcox</t>
  </si>
  <si>
    <t>Winston</t>
  </si>
  <si>
    <t>St. Clair</t>
  </si>
  <si>
    <t>Home Utilities</t>
  </si>
  <si>
    <t>Medium Income</t>
  </si>
  <si>
    <t>Med Income</t>
  </si>
  <si>
    <t>Veh No</t>
  </si>
  <si>
    <t>Veh Loan No</t>
  </si>
  <si>
    <t>Cars Owned</t>
  </si>
  <si>
    <t>Cars Owed For</t>
  </si>
  <si>
    <t>Out of Pocket Health Care</t>
  </si>
  <si>
    <t>HH Members 65 &amp; Older</t>
  </si>
  <si>
    <t>HH Members Under 65</t>
  </si>
  <si>
    <t>Household Income</t>
  </si>
  <si>
    <t>Medium Income Test</t>
  </si>
  <si>
    <t>HH Net Income</t>
  </si>
  <si>
    <t>National Standard</t>
  </si>
  <si>
    <t>Housing - Pmts</t>
  </si>
  <si>
    <t>Housing - Utilities</t>
  </si>
  <si>
    <t>Transportation - Ownership</t>
  </si>
  <si>
    <t>Transportation - Operating</t>
  </si>
  <si>
    <t>Non-Dischargeable Analyzer</t>
  </si>
  <si>
    <t>Taxes (IRS)</t>
  </si>
  <si>
    <t>Taxes (ADOR)</t>
  </si>
  <si>
    <t>Student Loans</t>
  </si>
  <si>
    <t>Child Support Arrearage</t>
  </si>
  <si>
    <t>Taxes - Other</t>
  </si>
  <si>
    <t>Chapter 13 Analyzer</t>
  </si>
  <si>
    <t>Unsecured Debt</t>
  </si>
  <si>
    <t>5% of Unsecureds</t>
  </si>
  <si>
    <t>Total Non-Exempt Equity</t>
  </si>
  <si>
    <t>Higher of Non-Exempt or 5%</t>
  </si>
  <si>
    <t>Priority Debt 4</t>
  </si>
  <si>
    <t>Priority Debt 5</t>
  </si>
  <si>
    <t>Student Loan 2</t>
  </si>
  <si>
    <t>Student Loan 3</t>
  </si>
  <si>
    <t>Student Loan 4</t>
  </si>
  <si>
    <t>Student Loan 5</t>
  </si>
  <si>
    <t>Filing Fee</t>
  </si>
  <si>
    <t>TOTALS</t>
  </si>
  <si>
    <t>Attorney's Fee</t>
  </si>
  <si>
    <t>TOTALS BEFORE TRUSTEE'S FEE</t>
  </si>
  <si>
    <t>Trustee's Fee %</t>
  </si>
  <si>
    <t>Trustee's Fee</t>
  </si>
  <si>
    <t>TOTAL</t>
  </si>
  <si>
    <t>Months in Plan</t>
  </si>
  <si>
    <t>Monthly Payment</t>
  </si>
  <si>
    <t>INCOME</t>
  </si>
  <si>
    <t>Total Income</t>
  </si>
  <si>
    <t>EXPENSES</t>
  </si>
  <si>
    <t>Power Bill</t>
  </si>
  <si>
    <t>Water &amp; Sewer Bill</t>
  </si>
  <si>
    <t>Telephone</t>
  </si>
  <si>
    <t>Other Utilities (Cable, Alarm, etc)</t>
  </si>
  <si>
    <t>Home Maintenance</t>
  </si>
  <si>
    <t>Laundry &amp; Drycleaning</t>
  </si>
  <si>
    <t>Medical &amp; Dental Expenses</t>
  </si>
  <si>
    <t>Recreation, Clubs &amp; Entertainment</t>
  </si>
  <si>
    <t xml:space="preserve">     and Newspapers, etc</t>
  </si>
  <si>
    <t>Charitable Contributions</t>
  </si>
  <si>
    <t>Homeowners or Renters Insurance</t>
  </si>
  <si>
    <t>Life Insurance (NOT DED FROM PAY-</t>
  </si>
  <si>
    <t xml:space="preserve">     CHECK)</t>
  </si>
  <si>
    <t>Health Insurance (NOT DED FROM</t>
  </si>
  <si>
    <t xml:space="preserve">     PAYCHECK)</t>
  </si>
  <si>
    <t>Auto Insurance</t>
  </si>
  <si>
    <t>Other Insurance</t>
  </si>
  <si>
    <t>Taxes not Deducted from Wages or</t>
  </si>
  <si>
    <t xml:space="preserve">     Home Mortgage Payments</t>
  </si>
  <si>
    <t>Installment Auto Payments</t>
  </si>
  <si>
    <t>Other Installment Payments not to</t>
  </si>
  <si>
    <t xml:space="preserve">     be Included in Chapter 13 Plan</t>
  </si>
  <si>
    <t>Alimony, Maintenance &amp; Support</t>
  </si>
  <si>
    <t xml:space="preserve">     paid to Others</t>
  </si>
  <si>
    <t>Payments to Dependents not living</t>
  </si>
  <si>
    <t xml:space="preserve">     In  Your Home</t>
  </si>
  <si>
    <t xml:space="preserve">Operation Expenses of Self </t>
  </si>
  <si>
    <t xml:space="preserve">     Employment, Business, Profession</t>
  </si>
  <si>
    <t xml:space="preserve">     or Farm</t>
  </si>
  <si>
    <t>Other Expenses</t>
  </si>
  <si>
    <t>Total Expenses</t>
  </si>
  <si>
    <t>NET INCOME</t>
  </si>
  <si>
    <t>LIQUIDATION TEST</t>
  </si>
  <si>
    <t>Time Left on Rent to Own Contract 1</t>
  </si>
  <si>
    <t>Time Left on Rent to Own Contract 2</t>
  </si>
  <si>
    <t>Time Left on Rent to Own Contract 3</t>
  </si>
  <si>
    <t>Time Left on Rent to Own Contract 4</t>
  </si>
  <si>
    <t>Time Left on Rent to Own Contract 5</t>
  </si>
  <si>
    <t>Projected Chapter 13 Payment</t>
  </si>
  <si>
    <t>Projected Chapter 13 Term</t>
  </si>
  <si>
    <t>Will A Graduated Plan be Needed?</t>
  </si>
  <si>
    <t>Total House Payments</t>
  </si>
  <si>
    <t>Lot Rent</t>
  </si>
  <si>
    <t>Till Rate</t>
  </si>
  <si>
    <t>Taxes - IRS</t>
  </si>
  <si>
    <t>Taxes - ADOR</t>
  </si>
  <si>
    <t>Non-PMSI?</t>
  </si>
  <si>
    <t>Contract Interest Rate on Principal Mortgage</t>
  </si>
  <si>
    <t>Principal Residence</t>
  </si>
  <si>
    <t>C-7 Fee Calculator</t>
  </si>
  <si>
    <t>Sale?</t>
  </si>
  <si>
    <t>Base Price</t>
  </si>
  <si>
    <t>How Many Initial Appointments Have You Missed?</t>
  </si>
  <si>
    <t>Amount of Unsecured Debt</t>
  </si>
  <si>
    <t>Do They Own a Business?</t>
  </si>
  <si>
    <t>Do they have a mortgage?</t>
  </si>
  <si>
    <t>Are there taxes involved in this case?</t>
  </si>
  <si>
    <t>Are there student loans involved?</t>
  </si>
  <si>
    <t>Do they have additional real estate?</t>
  </si>
  <si>
    <t>How Many Cars, Motorcycles, Boats, etc do they have?</t>
  </si>
  <si>
    <t>How Many Cars do they owe for?</t>
  </si>
  <si>
    <t>How Much Do You Bring Home Each Month</t>
  </si>
  <si>
    <t>Are they being sued?</t>
  </si>
  <si>
    <t>If yes, how many people are suing them?</t>
  </si>
  <si>
    <t>What County Do You Live In?</t>
  </si>
  <si>
    <t>Current Min Fee Quote for Soft Quotes</t>
  </si>
  <si>
    <t>Current Max Fee Quote for Soft Quotes</t>
  </si>
  <si>
    <t>Current Phone Fee Quote - Quote is Good for 10 Days</t>
  </si>
  <si>
    <t>Total Fee</t>
  </si>
  <si>
    <t>Down Payment</t>
  </si>
  <si>
    <t>2 Week - Weekly</t>
  </si>
  <si>
    <t>4 Week - Weekly</t>
  </si>
  <si>
    <t>8 Week Weekly</t>
  </si>
  <si>
    <t>12 Week Weekly</t>
  </si>
  <si>
    <t>4 Week Bi</t>
  </si>
  <si>
    <t>8 Week Bi</t>
  </si>
  <si>
    <t>12 Week Bi</t>
  </si>
  <si>
    <t>2 Month - Monthly</t>
  </si>
  <si>
    <t>3 Month Monthly</t>
  </si>
  <si>
    <t>Number of Payments</t>
  </si>
  <si>
    <t>Attorneys Fee Left</t>
  </si>
  <si>
    <t>Total Fee Left</t>
  </si>
  <si>
    <t>Put 1 in for Single &amp; 2 in for Joint</t>
  </si>
  <si>
    <t>Credit</t>
  </si>
  <si>
    <t>Total Checks</t>
  </si>
  <si>
    <t>Attorney Fee</t>
  </si>
  <si>
    <t>Debtor Ed</t>
  </si>
  <si>
    <t>Counseling</t>
  </si>
  <si>
    <t>Reports</t>
  </si>
  <si>
    <t>(Should = Column B)</t>
  </si>
  <si>
    <t>Payment 1</t>
  </si>
  <si>
    <t>Payment 2</t>
  </si>
  <si>
    <t>Payment 3</t>
  </si>
  <si>
    <t>Payment 4</t>
  </si>
  <si>
    <t>Payment 5</t>
  </si>
  <si>
    <t>Payment 6</t>
  </si>
  <si>
    <t>Payment 7</t>
  </si>
  <si>
    <t>Payment 8</t>
  </si>
  <si>
    <t>Financial Account</t>
  </si>
  <si>
    <t>Description</t>
  </si>
  <si>
    <t>Quantity</t>
  </si>
  <si>
    <t>Price</t>
  </si>
  <si>
    <t>Items</t>
  </si>
  <si>
    <t>Credit Reports</t>
  </si>
  <si>
    <t>Xero Converter</t>
  </si>
  <si>
    <t>Name</t>
  </si>
  <si>
    <t>POAttentionTo</t>
  </si>
  <si>
    <t>POAddressLine1</t>
  </si>
  <si>
    <t>POAddressLine2</t>
  </si>
  <si>
    <t>POAddressLine3</t>
  </si>
  <si>
    <t>POAddressLine4</t>
  </si>
  <si>
    <t>POCity</t>
  </si>
  <si>
    <t>PORegion</t>
  </si>
  <si>
    <t>POZipCode</t>
  </si>
  <si>
    <t>POCountry</t>
  </si>
  <si>
    <t>SAAttentionTo</t>
  </si>
  <si>
    <t>SAAddressLine1</t>
  </si>
  <si>
    <t>SAAddressLine2</t>
  </si>
  <si>
    <t>SAAddressLine3</t>
  </si>
  <si>
    <t>SAAddressLine4</t>
  </si>
  <si>
    <t>SACity</t>
  </si>
  <si>
    <t>SARegion</t>
  </si>
  <si>
    <t>SAZipCode</t>
  </si>
  <si>
    <t>SACountry</t>
  </si>
  <si>
    <t>PhoneNumber</t>
  </si>
  <si>
    <t>FaxNumber</t>
  </si>
  <si>
    <t>MobileNumber</t>
  </si>
  <si>
    <t>EmailAddress</t>
  </si>
  <si>
    <t>FirstName</t>
  </si>
  <si>
    <t>LastName</t>
  </si>
  <si>
    <t>Transporter</t>
  </si>
  <si>
    <t>Debtor Name</t>
  </si>
  <si>
    <t>Debtor SS</t>
  </si>
  <si>
    <t>Spouse Name</t>
  </si>
  <si>
    <t>Spouse SS</t>
  </si>
  <si>
    <t>Address 1</t>
  </si>
  <si>
    <t>Address 2</t>
  </si>
  <si>
    <t xml:space="preserve">State </t>
  </si>
  <si>
    <t>Cell Phone Number</t>
  </si>
  <si>
    <t>SpouseCell</t>
  </si>
  <si>
    <t>E-mail</t>
  </si>
  <si>
    <t>Spouse E-Mail</t>
  </si>
  <si>
    <t>Spouse Aliases</t>
  </si>
  <si>
    <t>Business</t>
  </si>
  <si>
    <t>Spouse Business</t>
  </si>
  <si>
    <t>Marketing - Trigger</t>
  </si>
  <si>
    <t>Marketing - Referred By</t>
  </si>
  <si>
    <t>Marketing - Race</t>
  </si>
  <si>
    <t>Marketing - Sex</t>
  </si>
  <si>
    <t>Marketing - Age</t>
  </si>
  <si>
    <t>Marketing - Age Range</t>
  </si>
  <si>
    <t>Marketing - Income</t>
  </si>
  <si>
    <t>Marketing - Income Range</t>
  </si>
  <si>
    <t>Marketing - Marital Status</t>
  </si>
  <si>
    <t>Marketing - Cable</t>
  </si>
  <si>
    <t>Marketing - Internet</t>
  </si>
  <si>
    <t>Marketing - Housing</t>
  </si>
  <si>
    <t>Work Phone Number</t>
  </si>
  <si>
    <t>Spouse Work Phone</t>
  </si>
  <si>
    <t>Home Phone Number</t>
  </si>
  <si>
    <t>C-7 Need Index</t>
  </si>
  <si>
    <t>6 Week Bi</t>
  </si>
  <si>
    <t>6 Week - Weekly</t>
  </si>
  <si>
    <t>Payment 9</t>
  </si>
  <si>
    <t>Payment 10</t>
  </si>
  <si>
    <t>Payment 11</t>
  </si>
  <si>
    <t>Payment 12</t>
  </si>
  <si>
    <t>After Pmt 1</t>
  </si>
  <si>
    <t>After Pmt 2</t>
  </si>
  <si>
    <t>After Pmt 3</t>
  </si>
  <si>
    <t>After Pmt 4</t>
  </si>
  <si>
    <t>After Pmt 5</t>
  </si>
  <si>
    <t>After Pmt 6</t>
  </si>
  <si>
    <t>After Pmt 7</t>
  </si>
  <si>
    <t>After Pmt 8</t>
  </si>
  <si>
    <t>After Pmt 9</t>
  </si>
  <si>
    <t>After Pmt 10</t>
  </si>
  <si>
    <t>After Pmt 11</t>
  </si>
  <si>
    <t>Filing Fee in Installments</t>
  </si>
  <si>
    <t>Smart Phone</t>
  </si>
  <si>
    <t>Marketing Trigger</t>
  </si>
  <si>
    <t>Referred By</t>
  </si>
  <si>
    <t>Phone Book</t>
  </si>
  <si>
    <t>Radio</t>
  </si>
  <si>
    <t>Television</t>
  </si>
  <si>
    <t>Direct Mail</t>
  </si>
  <si>
    <t>Outdoor Sign</t>
  </si>
  <si>
    <t>Newspaper</t>
  </si>
  <si>
    <t>Website</t>
  </si>
  <si>
    <t xml:space="preserve">Other </t>
  </si>
  <si>
    <t>Referred</t>
  </si>
  <si>
    <t>Spouse Age</t>
  </si>
  <si>
    <t>Average Age</t>
  </si>
  <si>
    <t>Age Range</t>
  </si>
  <si>
    <t>Income Range</t>
  </si>
  <si>
    <t>18-24</t>
  </si>
  <si>
    <t>25-34</t>
  </si>
  <si>
    <t>35-44</t>
  </si>
  <si>
    <t>45-54</t>
  </si>
  <si>
    <t>55-64</t>
  </si>
  <si>
    <t>65 or Over</t>
  </si>
  <si>
    <t>No Income</t>
  </si>
  <si>
    <t>$0.01-$9,999.99</t>
  </si>
  <si>
    <t>$10,000.00-$19,999.99</t>
  </si>
  <si>
    <t>$20,000.00-$29,999.99</t>
  </si>
  <si>
    <t>$30,000.00-$39,999.99</t>
  </si>
  <si>
    <t>$40,000.00-$49,999.99</t>
  </si>
  <si>
    <t>$50,000.00 or Over</t>
  </si>
  <si>
    <t>Annual</t>
  </si>
  <si>
    <t>Medium Income Test (Alabama)</t>
  </si>
  <si>
    <t>Medium Income Test (Tennessee)</t>
  </si>
  <si>
    <t>Medium Income Test (Georgia)</t>
  </si>
  <si>
    <t>Possible Social Security Income</t>
  </si>
  <si>
    <t>Prior Repo</t>
  </si>
  <si>
    <t>Current Repo Threat</t>
  </si>
  <si>
    <t>Foreclosure Date</t>
  </si>
  <si>
    <t>List of Lawsuits</t>
  </si>
  <si>
    <t>Vehicle 1 In Name</t>
  </si>
  <si>
    <t>Vehicle1 Behind On Payments?</t>
  </si>
  <si>
    <t>Vehicle 2 In Name</t>
  </si>
  <si>
    <t>Vehicle2 Behind On Payments?</t>
  </si>
  <si>
    <t>Vehicle 3 In Name</t>
  </si>
  <si>
    <t>Vehicle3 Behind On Payments?</t>
  </si>
  <si>
    <t>Vehicle 4 In Name</t>
  </si>
  <si>
    <t>Vehicle4 Behind On Payments?</t>
  </si>
  <si>
    <t>Vehicle 5 In Nam</t>
  </si>
  <si>
    <t>Vehicle5 Behind On Payments?</t>
  </si>
  <si>
    <t>Vehicle 6 In Name</t>
  </si>
  <si>
    <t>Vehicle6 Behind On Payments?</t>
  </si>
  <si>
    <t>Vehicle 7 In Name</t>
  </si>
  <si>
    <t>Vehicle7 Behind On Payments?</t>
  </si>
  <si>
    <t>Vehicle 9 In Name</t>
  </si>
  <si>
    <t>Vehicle9 Behind On Payments?</t>
  </si>
  <si>
    <t>Vehicle 10 In Name</t>
  </si>
  <si>
    <t>Vehicle10 Behind On Payments?</t>
  </si>
  <si>
    <t>Behind on Payments to a Secured Creditor</t>
  </si>
  <si>
    <t>Arrears on Rent2Own</t>
  </si>
  <si>
    <t>Back Taxes - IRS</t>
  </si>
  <si>
    <t>Back Taxes - ADOR</t>
  </si>
  <si>
    <t>IRS Lien</t>
  </si>
  <si>
    <t>ADOR Lien</t>
  </si>
  <si>
    <t>Other Departments of Rev</t>
  </si>
  <si>
    <t>Back Child Support</t>
  </si>
  <si>
    <t>Other Debt Amount - what is this???</t>
  </si>
  <si>
    <t>Title Pawns</t>
  </si>
  <si>
    <t>Exemptions</t>
  </si>
  <si>
    <t>Workers</t>
  </si>
  <si>
    <t>ContactName</t>
  </si>
  <si>
    <t>POPostalCode</t>
  </si>
  <si>
    <t>InvoiceNumber</t>
  </si>
  <si>
    <t>Reference</t>
  </si>
  <si>
    <t>InvoiceDate</t>
  </si>
  <si>
    <t>DueDate</t>
  </si>
  <si>
    <t>InventoryItemCode</t>
  </si>
  <si>
    <t>UnitAmount</t>
  </si>
  <si>
    <t>Discount</t>
  </si>
  <si>
    <t>AccountCode</t>
  </si>
  <si>
    <t>TaxType</t>
  </si>
  <si>
    <t>TaxAmount</t>
  </si>
  <si>
    <t>TrackingName1</t>
  </si>
  <si>
    <t>TrackingOption1</t>
  </si>
  <si>
    <t>TrackingName2</t>
  </si>
  <si>
    <t>TrackingOption2</t>
  </si>
  <si>
    <t>C13 Up Front Fee</t>
  </si>
  <si>
    <t>Up front fee in Chapter 13 Cases</t>
  </si>
  <si>
    <t>C7 Attorney Fee</t>
  </si>
  <si>
    <t>Attorney's Fee for Chapter 7 Bankruptcy</t>
  </si>
  <si>
    <t>CC Fee</t>
  </si>
  <si>
    <t>Credit Briefing Fee Required under the 2005 act</t>
  </si>
  <si>
    <t>DE Fee</t>
  </si>
  <si>
    <t>Debtor Ed Fee required under the 2005 Act</t>
  </si>
  <si>
    <t>CR Fee</t>
  </si>
  <si>
    <t>Fee for Credit Reports</t>
  </si>
  <si>
    <t>FF Fee</t>
  </si>
  <si>
    <t>Court's Filing Fee in C-7</t>
  </si>
  <si>
    <t>Invoices</t>
  </si>
  <si>
    <t>Tax on Sales</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</si>
</sst>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6" formatCode="&quot;$&quot;#,##0_);[Red]\(&quot;$&quot;#,##0\)"/>
    <numFmt numFmtId="8" formatCode="&quot;$&quot;#,##0.00_);[Red]\(&quot;$&quot;#,##0.00\)"/>
    <numFmt numFmtId="44" formatCode="_(&quot;$&quot;* #,##0.00_);_(&quot;$&quot;* \(#,##0.00\);_(&quot;$&quot;* &quot;-&quot;??_);_(@_)"/>
    <numFmt numFmtId="43" formatCode="_(* #,##0.00_);_(* \(#,##0.00\);_(* &quot;-&quot;??_);_(@_)"/>
    <numFmt numFmtId="164" formatCode="0_);[Red]\(0\)"/>
    <numFmt numFmtId="165" formatCode="m/d;@"/>
    <numFmt numFmtId="166" formatCode="&quot;$&quot;#,##0"/>
    <numFmt numFmtId="167" formatCode="mm/dd/yyyy"/>
    <numFmt numFmtId="168" formatCode="yyyy"/>
    <numFmt numFmtId="169" formatCode="[$-409]mmmm\ d\,\ yyyy;@"/>
  </numFmts>
  <fonts count="31" x14ac:knownFonts="1">
    <font>
      <sz val="11"/>
      <color theme="1"/>
      <name val="Calibri"/>
      <family val="2"/>
      <scheme val="minor"/>
    </font>
    <font>
      <b/>
      <sz val="11"/>
      <color theme="1"/>
      <name val="Calibri"/>
      <family val="2"/>
      <scheme val="minor"/>
    </font>
    <font>
      <sz val="10"/>
      <name val="Arial"/>
      <family val="2"/>
    </font>
    <font>
      <sz val="10"/>
      <name val="Arial"/>
      <family val="2"/>
    </font>
    <font>
      <b/>
      <sz val="11"/>
      <color rgb="FF000000"/>
      <name val="Calibri"/>
      <family val="2"/>
    </font>
    <font>
      <b/>
      <u/>
      <sz val="11"/>
      <color theme="1"/>
      <name val="Calibri"/>
      <family val="2"/>
      <scheme val="minor"/>
    </font>
    <font>
      <b/>
      <i/>
      <u/>
      <sz val="11"/>
      <color theme="1"/>
      <name val="Calibri"/>
      <family val="2"/>
      <scheme val="minor"/>
    </font>
    <font>
      <sz val="11"/>
      <color theme="1"/>
      <name val="Calibri"/>
      <family val="2"/>
      <scheme val="minor"/>
    </font>
    <font>
      <b/>
      <sz val="10"/>
      <name val="Arial"/>
      <family val="2"/>
    </font>
    <font>
      <b/>
      <sz val="12"/>
      <name val="Times New Roman"/>
      <family val="1"/>
    </font>
    <font>
      <sz val="12"/>
      <name val="Times New Roman"/>
      <family val="1"/>
    </font>
    <font>
      <b/>
      <sz val="10"/>
      <color indexed="10"/>
      <name val="Arial"/>
      <family val="2"/>
    </font>
    <font>
      <sz val="10"/>
      <color indexed="10"/>
      <name val="Arial"/>
      <family val="2"/>
    </font>
    <font>
      <b/>
      <sz val="8.25"/>
      <color rgb="FF000000"/>
      <name val="Arial"/>
      <family val="2"/>
    </font>
    <font>
      <sz val="8.25"/>
      <color rgb="FF000000"/>
      <name val="Arial"/>
      <family val="2"/>
    </font>
    <font>
      <b/>
      <sz val="10"/>
      <color rgb="FF171E24"/>
      <name val="Arial"/>
      <family val="2"/>
    </font>
    <font>
      <sz val="8"/>
      <color rgb="FF000000"/>
      <name val="Arial"/>
      <family val="2"/>
    </font>
    <font>
      <b/>
      <sz val="7.7"/>
      <color rgb="FF000000"/>
      <name val="Arial"/>
      <family val="2"/>
    </font>
    <font>
      <sz val="7.7"/>
      <color rgb="FF000000"/>
      <name val="Arial"/>
      <family val="2"/>
    </font>
    <font>
      <b/>
      <sz val="11"/>
      <color rgb="FF000000"/>
      <name val="Arial"/>
      <family val="2"/>
    </font>
    <font>
      <b/>
      <i/>
      <sz val="10"/>
      <name val="Arial"/>
      <family val="2"/>
    </font>
    <font>
      <b/>
      <sz val="8"/>
      <color indexed="81"/>
      <name val="Tahoma"/>
      <family val="2"/>
    </font>
    <font>
      <sz val="8"/>
      <color indexed="81"/>
      <name val="Tahoma"/>
      <family val="2"/>
    </font>
    <font>
      <b/>
      <u/>
      <sz val="10"/>
      <name val="Arial"/>
      <family val="2"/>
    </font>
    <font>
      <b/>
      <sz val="10"/>
      <name val="Tahoma"/>
      <family val="2"/>
    </font>
    <font>
      <b/>
      <sz val="10"/>
      <color indexed="9"/>
      <name val="Tahoma"/>
      <family val="2"/>
    </font>
    <font>
      <sz val="10"/>
      <name val="Tahoma"/>
      <family val="2"/>
    </font>
    <font>
      <sz val="8.25"/>
      <color indexed="8"/>
      <name val="Arial"/>
      <family val="2"/>
    </font>
    <font>
      <sz val="10"/>
      <color indexed="8"/>
      <name val="Tahoma"/>
      <family val="2"/>
    </font>
    <font>
      <sz val="9"/>
      <color indexed="81"/>
      <name val="Tahoma"/>
      <family val="2"/>
    </font>
    <font>
      <b/>
      <sz val="9"/>
      <color indexed="81"/>
      <name val="Tahoma"/>
      <family val="2"/>
    </font>
  </fonts>
  <fills count="16">
    <fill>
      <patternFill patternType="none"/>
    </fill>
    <fill>
      <patternFill patternType="gray125"/>
    </fill>
    <fill>
      <patternFill patternType="solid">
        <fgColor rgb="FFFFFFCC"/>
        <bgColor indexed="64"/>
      </patternFill>
    </fill>
    <fill>
      <patternFill patternType="solid">
        <fgColor rgb="FFCCFFCC"/>
        <bgColor indexed="64"/>
      </patternFill>
    </fill>
    <fill>
      <patternFill patternType="solid">
        <fgColor indexed="41"/>
        <bgColor indexed="64"/>
      </patternFill>
    </fill>
    <fill>
      <patternFill patternType="solid">
        <fgColor rgb="FFCCFFFF"/>
        <bgColor indexed="64"/>
      </patternFill>
    </fill>
    <fill>
      <patternFill patternType="solid">
        <fgColor rgb="FFFEFDF9"/>
        <bgColor indexed="64"/>
      </patternFill>
    </fill>
    <fill>
      <patternFill patternType="solid">
        <fgColor rgb="FFFFFFFF"/>
        <bgColor indexed="64"/>
      </patternFill>
    </fill>
    <fill>
      <patternFill patternType="solid">
        <fgColor indexed="42"/>
        <bgColor indexed="64"/>
      </patternFill>
    </fill>
    <fill>
      <patternFill patternType="solid">
        <fgColor indexed="43"/>
        <bgColor indexed="64"/>
      </patternFill>
    </fill>
    <fill>
      <patternFill patternType="solid">
        <fgColor indexed="52"/>
        <bgColor indexed="64"/>
      </patternFill>
    </fill>
    <fill>
      <patternFill patternType="solid">
        <fgColor indexed="10"/>
        <bgColor indexed="64"/>
      </patternFill>
    </fill>
    <fill>
      <patternFill patternType="solid">
        <fgColor rgb="FFC00000"/>
        <bgColor indexed="64"/>
      </patternFill>
    </fill>
    <fill>
      <patternFill patternType="solid">
        <fgColor indexed="9"/>
        <bgColor indexed="64"/>
      </patternFill>
    </fill>
    <fill>
      <patternFill patternType="solid">
        <fgColor indexed="45"/>
        <bgColor indexed="64"/>
      </patternFill>
    </fill>
    <fill>
      <patternFill patternType="solid">
        <fgColor rgb="FFFFCC99"/>
        <bgColor indexed="64"/>
      </patternFill>
    </fill>
  </fills>
  <borders count="53">
    <border>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ck">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bottom style="thin">
        <color rgb="FF000000"/>
      </bottom>
      <diagonal/>
    </border>
    <border>
      <left/>
      <right style="thick">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diagonal/>
    </border>
    <border>
      <left style="thin">
        <color rgb="FF000000"/>
      </left>
      <right/>
      <top style="thin">
        <color rgb="FF000000"/>
      </top>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style="thick">
        <color rgb="FF000000"/>
      </bottom>
      <diagonal/>
    </border>
    <border>
      <left style="thin">
        <color rgb="FF000000"/>
      </left>
      <right style="thin">
        <color rgb="FF000000"/>
      </right>
      <top style="thin">
        <color rgb="FF000000"/>
      </top>
      <bottom style="thick">
        <color rgb="FF000000"/>
      </bottom>
      <diagonal/>
    </border>
    <border>
      <left style="thin">
        <color rgb="FF000000"/>
      </left>
      <right/>
      <top style="thin">
        <color rgb="FF000000"/>
      </top>
      <bottom style="thick">
        <color rgb="FF000000"/>
      </bottom>
      <diagonal/>
    </border>
    <border>
      <left/>
      <right/>
      <top style="thin">
        <color rgb="FF000000"/>
      </top>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style="medium">
        <color rgb="FF000000"/>
      </left>
      <right style="thin">
        <color rgb="FF000000"/>
      </right>
      <top style="thin">
        <color rgb="FF000000"/>
      </top>
      <bottom/>
      <diagonal/>
    </border>
    <border>
      <left style="medium">
        <color rgb="FF000000"/>
      </left>
      <right/>
      <top style="thin">
        <color rgb="FF000000"/>
      </top>
      <bottom/>
      <diagonal/>
    </border>
    <border>
      <left style="medium">
        <color rgb="FF000000"/>
      </left>
      <right style="thin">
        <color rgb="FF000000"/>
      </right>
      <top/>
      <bottom style="thick">
        <color rgb="FF000000"/>
      </bottom>
      <diagonal/>
    </border>
    <border>
      <left/>
      <right/>
      <top style="thin">
        <color rgb="FF000000"/>
      </top>
      <bottom style="thick">
        <color rgb="FF000000"/>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right/>
      <top/>
      <bottom style="double">
        <color auto="1"/>
      </bottom>
      <diagonal/>
    </border>
    <border>
      <left style="medium">
        <color indexed="9"/>
      </left>
      <right style="medium">
        <color indexed="9"/>
      </right>
      <top style="medium">
        <color indexed="9"/>
      </top>
      <bottom/>
      <diagonal/>
    </border>
    <border>
      <left style="medium">
        <color indexed="9"/>
      </left>
      <right style="medium">
        <color indexed="9"/>
      </right>
      <top/>
      <bottom/>
      <diagonal/>
    </border>
  </borders>
  <cellStyleXfs count="7">
    <xf numFmtId="0" fontId="0" fillId="0" borderId="0"/>
    <xf numFmtId="0" fontId="2" fillId="0" borderId="0"/>
    <xf numFmtId="0" fontId="3" fillId="0" borderId="0"/>
    <xf numFmtId="43" fontId="7" fillId="0" borderId="0" applyFont="0" applyFill="0" applyBorder="0" applyAlignment="0" applyProtection="0"/>
    <xf numFmtId="44" fontId="7" fillId="0" borderId="0" applyFont="0" applyFill="0" applyBorder="0" applyAlignment="0" applyProtection="0"/>
    <xf numFmtId="44" fontId="2" fillId="0" borderId="0" applyFont="0" applyFill="0" applyBorder="0" applyAlignment="0" applyProtection="0"/>
    <xf numFmtId="0" fontId="27" fillId="0" borderId="0" applyNumberFormat="0" applyFill="0" applyBorder="0" applyAlignment="0" applyProtection="0"/>
  </cellStyleXfs>
  <cellXfs count="227">
    <xf numFmtId="0" fontId="0" fillId="0" borderId="0" xfId="0"/>
    <xf numFmtId="0" fontId="1" fillId="0" borderId="0" xfId="0" applyFont="1"/>
    <xf numFmtId="0" fontId="0" fillId="0" borderId="0" xfId="0" applyAlignment="1">
      <alignment horizontal="center"/>
    </xf>
    <xf numFmtId="0" fontId="1" fillId="0" borderId="0" xfId="0" applyFont="1" applyAlignment="1">
      <alignment horizontal="center"/>
    </xf>
    <xf numFmtId="40" fontId="0" fillId="0" borderId="0" xfId="0" applyNumberFormat="1"/>
    <xf numFmtId="14" fontId="0" fillId="0" borderId="0" xfId="0" applyNumberFormat="1" applyAlignment="1">
      <alignment horizontal="center"/>
    </xf>
    <xf numFmtId="40" fontId="0" fillId="0" borderId="0" xfId="0" applyNumberFormat="1" applyAlignment="1">
      <alignment horizontal="center"/>
    </xf>
    <xf numFmtId="0" fontId="1" fillId="0" borderId="0" xfId="0" applyFont="1" applyAlignment="1">
      <alignment horizontal="center"/>
    </xf>
    <xf numFmtId="0" fontId="1" fillId="0" borderId="0" xfId="0" applyFont="1" applyAlignment="1">
      <alignment horizontal="center"/>
    </xf>
    <xf numFmtId="0" fontId="2" fillId="0" borderId="0" xfId="1"/>
    <xf numFmtId="0" fontId="2" fillId="0" borderId="0" xfId="1" quotePrefix="1" applyNumberFormat="1"/>
    <xf numFmtId="0" fontId="0" fillId="2" borderId="0" xfId="0" applyFill="1"/>
    <xf numFmtId="0" fontId="5" fillId="0" borderId="0" xfId="0" applyFont="1"/>
    <xf numFmtId="0" fontId="6" fillId="0" borderId="0" xfId="0" applyFont="1"/>
    <xf numFmtId="0" fontId="0" fillId="3" borderId="0" xfId="0" applyFill="1"/>
    <xf numFmtId="0" fontId="0" fillId="0" borderId="0" xfId="0" applyFill="1"/>
    <xf numFmtId="40" fontId="0" fillId="2" borderId="0" xfId="0" applyNumberFormat="1" applyFill="1"/>
    <xf numFmtId="0" fontId="1" fillId="0" borderId="0" xfId="0" applyFont="1" applyAlignment="1">
      <alignment horizontal="center"/>
    </xf>
    <xf numFmtId="40" fontId="0" fillId="3" borderId="0" xfId="0" applyNumberFormat="1" applyFill="1"/>
    <xf numFmtId="164" fontId="0" fillId="3" borderId="0" xfId="0" applyNumberFormat="1" applyFill="1"/>
    <xf numFmtId="0" fontId="1" fillId="0" borderId="0" xfId="0" quotePrefix="1" applyFont="1" applyAlignment="1">
      <alignment horizontal="center"/>
    </xf>
    <xf numFmtId="40" fontId="0" fillId="0" borderId="0" xfId="0" applyNumberFormat="1" applyFont="1" applyAlignment="1">
      <alignment horizontal="right"/>
    </xf>
    <xf numFmtId="4" fontId="0" fillId="3" borderId="0" xfId="0" applyNumberFormat="1" applyFont="1" applyFill="1" applyAlignment="1">
      <alignment horizontal="right"/>
    </xf>
    <xf numFmtId="4" fontId="8" fillId="0" borderId="0" xfId="0" applyNumberFormat="1" applyFont="1" applyProtection="1">
      <protection locked="0"/>
    </xf>
    <xf numFmtId="40" fontId="8" fillId="0" borderId="1" xfId="0" applyNumberFormat="1" applyFont="1" applyBorder="1" applyAlignment="1">
      <alignment horizontal="center"/>
    </xf>
    <xf numFmtId="40" fontId="8" fillId="0" borderId="0" xfId="0" applyNumberFormat="1" applyFont="1"/>
    <xf numFmtId="0" fontId="0" fillId="4" borderId="0" xfId="0" applyFill="1" applyProtection="1">
      <protection locked="0"/>
    </xf>
    <xf numFmtId="4" fontId="8" fillId="0" borderId="0" xfId="0" applyNumberFormat="1" applyFont="1"/>
    <xf numFmtId="40" fontId="0" fillId="4" borderId="0" xfId="0" applyNumberFormat="1" applyFill="1" applyProtection="1">
      <protection locked="0"/>
    </xf>
    <xf numFmtId="4" fontId="8" fillId="0" borderId="0" xfId="0" applyNumberFormat="1" applyFont="1" applyAlignment="1">
      <alignment horizontal="center"/>
    </xf>
    <xf numFmtId="40" fontId="0" fillId="0" borderId="0" xfId="0" applyNumberFormat="1" applyAlignment="1">
      <alignment horizontal="right"/>
    </xf>
    <xf numFmtId="40" fontId="0" fillId="4" borderId="0" xfId="0" applyNumberFormat="1" applyFill="1"/>
    <xf numFmtId="40" fontId="8" fillId="0" borderId="0" xfId="0" applyNumberFormat="1" applyFont="1" applyAlignment="1">
      <alignment horizontal="center"/>
    </xf>
    <xf numFmtId="40" fontId="1" fillId="0" borderId="0" xfId="0" applyNumberFormat="1" applyFont="1"/>
    <xf numFmtId="40" fontId="1" fillId="0" borderId="0" xfId="0" applyNumberFormat="1" applyFont="1" applyAlignment="1">
      <alignment horizontal="center"/>
    </xf>
    <xf numFmtId="40" fontId="0" fillId="0" borderId="0" xfId="0" applyNumberFormat="1" applyFill="1" applyProtection="1">
      <protection locked="0"/>
    </xf>
    <xf numFmtId="40" fontId="0" fillId="5" borderId="0" xfId="0" applyNumberFormat="1" applyFill="1"/>
    <xf numFmtId="0" fontId="9" fillId="0" borderId="2" xfId="1" applyFont="1" applyBorder="1" applyAlignment="1">
      <alignment horizontal="center" vertical="center" wrapText="1"/>
    </xf>
    <xf numFmtId="166" fontId="9" fillId="0" borderId="3" xfId="1" applyNumberFormat="1" applyFont="1" applyBorder="1" applyAlignment="1">
      <alignment horizontal="center" vertical="center" wrapText="1"/>
    </xf>
    <xf numFmtId="166" fontId="9" fillId="0" borderId="4" xfId="1" applyNumberFormat="1" applyFont="1" applyBorder="1" applyAlignment="1">
      <alignment horizontal="center" vertical="center" wrapText="1"/>
    </xf>
    <xf numFmtId="0" fontId="10" fillId="0" borderId="5" xfId="1" applyFont="1" applyBorder="1" applyAlignment="1">
      <alignment vertical="center" wrapText="1"/>
    </xf>
    <xf numFmtId="166" fontId="10" fillId="0" borderId="6" xfId="3" applyNumberFormat="1" applyFont="1" applyBorder="1" applyAlignment="1">
      <alignment horizontal="right" vertical="center" indent="1"/>
    </xf>
    <xf numFmtId="166" fontId="10" fillId="0" borderId="7" xfId="3" applyNumberFormat="1" applyFont="1" applyBorder="1" applyAlignment="1">
      <alignment horizontal="right" vertical="center" indent="1"/>
    </xf>
    <xf numFmtId="166" fontId="10" fillId="0" borderId="8" xfId="3" applyNumberFormat="1" applyFont="1" applyBorder="1" applyAlignment="1">
      <alignment horizontal="right" vertical="center" indent="1"/>
    </xf>
    <xf numFmtId="0" fontId="10" fillId="0" borderId="9" xfId="1" applyFont="1" applyBorder="1" applyAlignment="1">
      <alignment vertical="center" wrapText="1"/>
    </xf>
    <xf numFmtId="166" fontId="10" fillId="0" borderId="10" xfId="3" applyNumberFormat="1" applyFont="1" applyBorder="1" applyAlignment="1">
      <alignment horizontal="right" vertical="center" indent="1"/>
    </xf>
    <xf numFmtId="166" fontId="10" fillId="0" borderId="11" xfId="3" applyNumberFormat="1" applyFont="1" applyBorder="1" applyAlignment="1">
      <alignment horizontal="right" vertical="center" indent="1"/>
    </xf>
    <xf numFmtId="0" fontId="9" fillId="0" borderId="9" xfId="1" applyFont="1" applyBorder="1" applyAlignment="1">
      <alignment vertical="center" wrapText="1"/>
    </xf>
    <xf numFmtId="166" fontId="9" fillId="0" borderId="12" xfId="4" applyNumberFormat="1" applyFont="1" applyBorder="1" applyAlignment="1">
      <alignment horizontal="right" vertical="center" indent="1"/>
    </xf>
    <xf numFmtId="166" fontId="9" fillId="0" borderId="13" xfId="4" applyNumberFormat="1" applyFont="1" applyBorder="1" applyAlignment="1">
      <alignment horizontal="right" vertical="center" indent="1"/>
    </xf>
    <xf numFmtId="0" fontId="9" fillId="0" borderId="0" xfId="1" applyFont="1" applyBorder="1" applyAlignment="1">
      <alignment vertical="center" wrapText="1"/>
    </xf>
    <xf numFmtId="166" fontId="9" fillId="0" borderId="0" xfId="4" applyNumberFormat="1" applyFont="1" applyBorder="1" applyAlignment="1">
      <alignment horizontal="right" vertical="center" indent="1"/>
    </xf>
    <xf numFmtId="0" fontId="10" fillId="0" borderId="0" xfId="1" applyFont="1" applyBorder="1" applyAlignment="1">
      <alignment vertical="center"/>
    </xf>
    <xf numFmtId="166" fontId="10" fillId="0" borderId="0" xfId="1" applyNumberFormat="1" applyFont="1" applyBorder="1" applyAlignment="1">
      <alignment vertical="center"/>
    </xf>
    <xf numFmtId="0" fontId="10" fillId="0" borderId="0" xfId="1" applyFont="1" applyAlignment="1">
      <alignment vertical="center"/>
    </xf>
    <xf numFmtId="0" fontId="9" fillId="0" borderId="14" xfId="1" applyFont="1" applyBorder="1" applyAlignment="1">
      <alignment horizontal="center" vertical="center" wrapText="1"/>
    </xf>
    <xf numFmtId="0" fontId="10" fillId="0" borderId="15" xfId="1" applyFont="1" applyBorder="1" applyAlignment="1">
      <alignment vertical="center" wrapText="1"/>
    </xf>
    <xf numFmtId="166" fontId="9" fillId="0" borderId="4" xfId="1" applyNumberFormat="1" applyFont="1" applyBorder="1" applyAlignment="1">
      <alignment horizontal="right" vertical="center" indent="1"/>
    </xf>
    <xf numFmtId="0" fontId="0" fillId="0" borderId="16" xfId="0" applyBorder="1"/>
    <xf numFmtId="0" fontId="9" fillId="0" borderId="17" xfId="0" applyFont="1" applyBorder="1" applyAlignment="1">
      <alignment horizontal="center" wrapText="1"/>
    </xf>
    <xf numFmtId="0" fontId="0" fillId="0" borderId="17" xfId="0" applyBorder="1"/>
    <xf numFmtId="166" fontId="0" fillId="0" borderId="17" xfId="0" applyNumberFormat="1" applyBorder="1" applyAlignment="1">
      <alignment horizontal="right" indent="1"/>
    </xf>
    <xf numFmtId="0" fontId="0" fillId="6" borderId="0" xfId="0" applyFill="1"/>
    <xf numFmtId="0" fontId="2" fillId="0" borderId="0" xfId="1"/>
    <xf numFmtId="0" fontId="8" fillId="0" borderId="1" xfId="1" applyFont="1" applyBorder="1" applyAlignment="1">
      <alignment horizontal="center"/>
    </xf>
    <xf numFmtId="0" fontId="8" fillId="0" borderId="1" xfId="1" applyFont="1" applyBorder="1" applyAlignment="1"/>
    <xf numFmtId="0" fontId="8" fillId="0" borderId="19" xfId="1" applyFont="1" applyBorder="1"/>
    <xf numFmtId="0" fontId="8" fillId="0" borderId="18" xfId="1" applyFont="1" applyBorder="1"/>
    <xf numFmtId="0" fontId="2" fillId="0" borderId="17" xfId="1" applyBorder="1"/>
    <xf numFmtId="166" fontId="2" fillId="0" borderId="17" xfId="1" applyNumberFormat="1" applyBorder="1" applyAlignment="1">
      <alignment horizontal="center"/>
    </xf>
    <xf numFmtId="166" fontId="2" fillId="0" borderId="0" xfId="1" applyNumberFormat="1"/>
    <xf numFmtId="0" fontId="2" fillId="0" borderId="0" xfId="1" applyFont="1"/>
    <xf numFmtId="0" fontId="8" fillId="0" borderId="18" xfId="1" applyFont="1" applyBorder="1" applyAlignment="1">
      <alignment horizontal="center"/>
    </xf>
    <xf numFmtId="0" fontId="8" fillId="0" borderId="19" xfId="1" applyFont="1" applyBorder="1" applyAlignment="1"/>
    <xf numFmtId="0" fontId="8" fillId="0" borderId="19" xfId="1" applyFont="1" applyBorder="1" applyAlignment="1">
      <alignment horizontal="center"/>
    </xf>
    <xf numFmtId="0" fontId="13" fillId="7" borderId="25" xfId="0" applyFont="1" applyFill="1" applyBorder="1" applyAlignment="1">
      <alignment horizontal="center" vertical="center" wrapText="1"/>
    </xf>
    <xf numFmtId="0" fontId="13" fillId="7" borderId="28" xfId="0" applyFont="1" applyFill="1" applyBorder="1" applyAlignment="1">
      <alignment horizontal="center" vertical="center" wrapText="1"/>
    </xf>
    <xf numFmtId="0" fontId="13" fillId="7" borderId="29" xfId="0" applyFont="1" applyFill="1" applyBorder="1" applyAlignment="1">
      <alignment horizontal="center" vertical="center" wrapText="1"/>
    </xf>
    <xf numFmtId="0" fontId="13" fillId="7" borderId="24" xfId="0" applyFont="1" applyFill="1" applyBorder="1" applyAlignment="1">
      <alignment horizontal="center" vertical="center" wrapText="1"/>
    </xf>
    <xf numFmtId="0" fontId="14" fillId="7" borderId="28" xfId="0" applyFont="1" applyFill="1" applyBorder="1" applyAlignment="1">
      <alignment horizontal="center" vertical="top" wrapText="1"/>
    </xf>
    <xf numFmtId="6" fontId="14" fillId="7" borderId="28" xfId="0" applyNumberFormat="1" applyFont="1" applyFill="1" applyBorder="1" applyAlignment="1">
      <alignment horizontal="center" vertical="top" wrapText="1"/>
    </xf>
    <xf numFmtId="0" fontId="13" fillId="7" borderId="34" xfId="0" applyFont="1" applyFill="1" applyBorder="1" applyAlignment="1">
      <alignment horizontal="center" vertical="center" wrapText="1"/>
    </xf>
    <xf numFmtId="0" fontId="13" fillId="7" borderId="36" xfId="0" applyFont="1" applyFill="1" applyBorder="1" applyAlignment="1">
      <alignment horizontal="center" vertical="center" wrapText="1"/>
    </xf>
    <xf numFmtId="0" fontId="13" fillId="7" borderId="26" xfId="0" applyFont="1" applyFill="1" applyBorder="1" applyAlignment="1">
      <alignment horizontal="center" vertical="center" wrapText="1"/>
    </xf>
    <xf numFmtId="0" fontId="14" fillId="7" borderId="33" xfId="0" applyFont="1" applyFill="1" applyBorder="1" applyAlignment="1">
      <alignment horizontal="left" vertical="top" wrapText="1"/>
    </xf>
    <xf numFmtId="6" fontId="14" fillId="7" borderId="34" xfId="0" applyNumberFormat="1" applyFont="1" applyFill="1" applyBorder="1" applyAlignment="1">
      <alignment horizontal="center" vertical="top" wrapText="1"/>
    </xf>
    <xf numFmtId="0" fontId="14" fillId="7" borderId="37" xfId="0" applyFont="1" applyFill="1" applyBorder="1" applyAlignment="1">
      <alignment horizontal="left" vertical="top" wrapText="1"/>
    </xf>
    <xf numFmtId="0" fontId="14" fillId="7" borderId="38" xfId="0" applyFont="1" applyFill="1" applyBorder="1" applyAlignment="1">
      <alignment horizontal="center" vertical="top" wrapText="1"/>
    </xf>
    <xf numFmtId="6" fontId="14" fillId="7" borderId="38" xfId="0" applyNumberFormat="1" applyFont="1" applyFill="1" applyBorder="1" applyAlignment="1">
      <alignment horizontal="center" vertical="top" wrapText="1"/>
    </xf>
    <xf numFmtId="6" fontId="14" fillId="7" borderId="39" xfId="0" applyNumberFormat="1" applyFont="1" applyFill="1" applyBorder="1" applyAlignment="1">
      <alignment horizontal="center" vertical="top" wrapText="1"/>
    </xf>
    <xf numFmtId="0" fontId="13" fillId="7" borderId="27" xfId="0" applyFont="1" applyFill="1" applyBorder="1" applyAlignment="1">
      <alignment horizontal="center" vertical="center" wrapText="1"/>
    </xf>
    <xf numFmtId="0" fontId="17" fillId="7" borderId="33" xfId="0" applyFont="1" applyFill="1" applyBorder="1" applyAlignment="1">
      <alignment horizontal="left" vertical="top" wrapText="1" indent="1"/>
    </xf>
    <xf numFmtId="6" fontId="18" fillId="7" borderId="33" xfId="0" applyNumberFormat="1" applyFont="1" applyFill="1" applyBorder="1" applyAlignment="1">
      <alignment horizontal="left" vertical="top" wrapText="1" indent="1"/>
    </xf>
    <xf numFmtId="0" fontId="17" fillId="6" borderId="44" xfId="0" applyFont="1" applyFill="1" applyBorder="1" applyAlignment="1">
      <alignment horizontal="left" vertical="top" wrapText="1" indent="1"/>
    </xf>
    <xf numFmtId="0" fontId="17" fillId="7" borderId="40" xfId="0" applyFont="1" applyFill="1" applyBorder="1" applyAlignment="1">
      <alignment horizontal="left" vertical="top" wrapText="1" indent="1"/>
    </xf>
    <xf numFmtId="0" fontId="18" fillId="6" borderId="44" xfId="0" applyFont="1" applyFill="1" applyBorder="1" applyAlignment="1">
      <alignment horizontal="left" vertical="top" wrapText="1" indent="1"/>
    </xf>
    <xf numFmtId="6" fontId="18" fillId="7" borderId="40" xfId="0" applyNumberFormat="1" applyFont="1" applyFill="1" applyBorder="1" applyAlignment="1">
      <alignment horizontal="left" vertical="top" wrapText="1" indent="1"/>
    </xf>
    <xf numFmtId="6" fontId="18" fillId="7" borderId="37" xfId="0" applyNumberFormat="1" applyFont="1" applyFill="1" applyBorder="1" applyAlignment="1">
      <alignment horizontal="left" vertical="top" wrapText="1" indent="1"/>
    </xf>
    <xf numFmtId="6" fontId="18" fillId="7" borderId="47" xfId="0" applyNumberFormat="1" applyFont="1" applyFill="1" applyBorder="1" applyAlignment="1">
      <alignment horizontal="left" vertical="top" wrapText="1" indent="1"/>
    </xf>
    <xf numFmtId="40" fontId="0" fillId="3" borderId="1" xfId="0" applyNumberFormat="1" applyFill="1" applyBorder="1"/>
    <xf numFmtId="40" fontId="0" fillId="3" borderId="50" xfId="0" applyNumberFormat="1" applyFill="1" applyBorder="1"/>
    <xf numFmtId="40" fontId="0" fillId="0" borderId="0" xfId="0" applyNumberFormat="1" applyProtection="1">
      <protection locked="0"/>
    </xf>
    <xf numFmtId="40" fontId="0" fillId="8" borderId="0" xfId="0" applyNumberFormat="1" applyFill="1" applyProtection="1">
      <protection locked="0"/>
    </xf>
    <xf numFmtId="0" fontId="8" fillId="0" borderId="0" xfId="0" applyFont="1" applyProtection="1">
      <protection locked="0"/>
    </xf>
    <xf numFmtId="40" fontId="8" fillId="0" borderId="0" xfId="0" applyNumberFormat="1" applyFont="1" applyProtection="1">
      <protection locked="0"/>
    </xf>
    <xf numFmtId="39" fontId="8" fillId="0" borderId="0" xfId="0" applyNumberFormat="1" applyFont="1"/>
    <xf numFmtId="39" fontId="0" fillId="4" borderId="0" xfId="0" applyNumberFormat="1" applyFill="1" applyProtection="1">
      <protection locked="0"/>
    </xf>
    <xf numFmtId="39" fontId="8" fillId="8" borderId="0" xfId="0" applyNumberFormat="1" applyFont="1" applyFill="1" applyProtection="1">
      <protection locked="0"/>
    </xf>
    <xf numFmtId="39" fontId="20" fillId="8" borderId="0" xfId="0" applyNumberFormat="1" applyFont="1" applyFill="1" applyProtection="1">
      <protection locked="0"/>
    </xf>
    <xf numFmtId="39" fontId="8" fillId="0" borderId="0" xfId="0" applyNumberFormat="1" applyFont="1" applyProtection="1">
      <protection locked="0"/>
    </xf>
    <xf numFmtId="40" fontId="8" fillId="8" borderId="0" xfId="0" applyNumberFormat="1" applyFont="1" applyFill="1" applyProtection="1">
      <protection locked="0"/>
    </xf>
    <xf numFmtId="40" fontId="0" fillId="9" borderId="0" xfId="0" applyNumberFormat="1" applyFill="1" applyProtection="1">
      <protection locked="0"/>
    </xf>
    <xf numFmtId="40" fontId="0" fillId="10" borderId="0" xfId="0" applyNumberFormat="1" applyFill="1" applyProtection="1">
      <protection locked="0"/>
    </xf>
    <xf numFmtId="40" fontId="8" fillId="4" borderId="0" xfId="0" applyNumberFormat="1" applyFont="1" applyFill="1" applyProtection="1">
      <protection locked="0"/>
    </xf>
    <xf numFmtId="40" fontId="0" fillId="11" borderId="0" xfId="0" applyNumberFormat="1" applyFill="1" applyProtection="1">
      <protection locked="0"/>
    </xf>
    <xf numFmtId="40" fontId="0" fillId="0" borderId="0" xfId="0" applyNumberFormat="1" applyFill="1"/>
    <xf numFmtId="40" fontId="2" fillId="3" borderId="0" xfId="0" applyNumberFormat="1" applyFont="1" applyFill="1" applyProtection="1">
      <protection locked="0"/>
    </xf>
    <xf numFmtId="40" fontId="0" fillId="3" borderId="0" xfId="0" applyNumberFormat="1" applyFill="1" applyProtection="1">
      <protection locked="0"/>
    </xf>
    <xf numFmtId="40" fontId="0" fillId="2" borderId="0" xfId="0" applyNumberFormat="1" applyFill="1" applyProtection="1">
      <protection locked="0"/>
    </xf>
    <xf numFmtId="10" fontId="0" fillId="2" borderId="0" xfId="0" applyNumberFormat="1" applyFill="1"/>
    <xf numFmtId="39" fontId="8" fillId="3" borderId="0" xfId="0" applyNumberFormat="1" applyFont="1" applyFill="1" applyProtection="1">
      <protection locked="0"/>
    </xf>
    <xf numFmtId="8" fontId="0" fillId="0" borderId="0" xfId="0" applyNumberFormat="1"/>
    <xf numFmtId="0" fontId="0" fillId="12" borderId="0" xfId="0" applyFill="1"/>
    <xf numFmtId="40" fontId="1" fillId="0" borderId="0" xfId="0" applyNumberFormat="1" applyFont="1" applyFill="1" applyAlignment="1" applyProtection="1">
      <alignment horizontal="right"/>
      <protection locked="0"/>
    </xf>
    <xf numFmtId="39" fontId="0" fillId="0" borderId="0" xfId="0" applyNumberFormat="1"/>
    <xf numFmtId="39" fontId="0" fillId="3" borderId="0" xfId="0" applyNumberFormat="1" applyFill="1"/>
    <xf numFmtId="4" fontId="23" fillId="0" borderId="0" xfId="0" applyNumberFormat="1" applyFont="1" applyProtection="1">
      <protection locked="0"/>
    </xf>
    <xf numFmtId="4" fontId="0" fillId="0" borderId="0" xfId="0" applyNumberFormat="1" applyProtection="1">
      <protection locked="0"/>
    </xf>
    <xf numFmtId="0" fontId="0" fillId="9" borderId="0" xfId="0" applyFill="1" applyProtection="1">
      <protection locked="0"/>
    </xf>
    <xf numFmtId="0" fontId="0" fillId="0" borderId="0" xfId="0" applyProtection="1">
      <protection locked="0"/>
    </xf>
    <xf numFmtId="40" fontId="2" fillId="9" borderId="0" xfId="0" applyNumberFormat="1" applyFont="1" applyFill="1" applyProtection="1">
      <protection locked="0"/>
    </xf>
    <xf numFmtId="40" fontId="0" fillId="13" borderId="0" xfId="0" applyNumberFormat="1" applyFill="1" applyProtection="1">
      <protection locked="0"/>
    </xf>
    <xf numFmtId="40" fontId="0" fillId="14" borderId="0" xfId="0" applyNumberFormat="1" applyFill="1" applyProtection="1">
      <protection locked="0"/>
    </xf>
    <xf numFmtId="40" fontId="8" fillId="0" borderId="1" xfId="0" applyNumberFormat="1" applyFont="1" applyBorder="1" applyAlignment="1" applyProtection="1">
      <alignment horizontal="center"/>
      <protection locked="0"/>
    </xf>
    <xf numFmtId="40" fontId="0" fillId="11" borderId="0" xfId="0" applyNumberFormat="1" applyFill="1"/>
    <xf numFmtId="40" fontId="0" fillId="9" borderId="0" xfId="0" applyNumberFormat="1" applyFill="1"/>
    <xf numFmtId="40" fontId="0" fillId="8" borderId="0" xfId="0" applyNumberFormat="1" applyFill="1"/>
    <xf numFmtId="0" fontId="8" fillId="0" borderId="1" xfId="0" applyFont="1" applyBorder="1" applyAlignment="1">
      <alignment horizontal="center"/>
    </xf>
    <xf numFmtId="40" fontId="0" fillId="8" borderId="50" xfId="0" applyNumberFormat="1" applyFill="1" applyBorder="1"/>
    <xf numFmtId="0" fontId="24" fillId="0" borderId="1" xfId="0" applyFont="1" applyBorder="1" applyAlignment="1">
      <alignment horizontal="center"/>
    </xf>
    <xf numFmtId="0" fontId="26" fillId="0" borderId="0" xfId="0" applyFont="1"/>
    <xf numFmtId="0" fontId="28" fillId="11" borderId="0" xfId="6" applyNumberFormat="1" applyFont="1" applyFill="1" applyAlignment="1">
      <alignment horizontal="left"/>
    </xf>
    <xf numFmtId="0" fontId="26" fillId="11" borderId="0" xfId="0" applyFont="1" applyFill="1"/>
    <xf numFmtId="0" fontId="8" fillId="0" borderId="0" xfId="0" applyFont="1"/>
    <xf numFmtId="165" fontId="0" fillId="0" borderId="0" xfId="0" applyNumberFormat="1" applyFill="1"/>
    <xf numFmtId="165" fontId="0" fillId="8" borderId="0" xfId="0" applyNumberFormat="1" applyFill="1"/>
    <xf numFmtId="1" fontId="0" fillId="3" borderId="0" xfId="0" applyNumberFormat="1" applyFill="1"/>
    <xf numFmtId="40" fontId="2" fillId="8" borderId="0" xfId="0" applyNumberFormat="1" applyFont="1" applyFill="1"/>
    <xf numFmtId="40" fontId="0" fillId="12" borderId="0" xfId="0" applyNumberFormat="1" applyFill="1" applyProtection="1">
      <protection locked="0"/>
    </xf>
    <xf numFmtId="4" fontId="23" fillId="0" borderId="0" xfId="0" applyNumberFormat="1" applyFont="1" applyFill="1" applyProtection="1">
      <protection locked="0"/>
    </xf>
    <xf numFmtId="4" fontId="0" fillId="0" borderId="0" xfId="0" applyNumberFormat="1" applyFill="1" applyProtection="1">
      <protection locked="0"/>
    </xf>
    <xf numFmtId="0" fontId="8" fillId="0" borderId="0" xfId="0" applyFont="1" applyFill="1" applyProtection="1">
      <protection locked="0"/>
    </xf>
    <xf numFmtId="0" fontId="0" fillId="0" borderId="0" xfId="0" applyFill="1" applyProtection="1">
      <protection locked="0"/>
    </xf>
    <xf numFmtId="40" fontId="8" fillId="0" borderId="0" xfId="0" applyNumberFormat="1" applyFont="1" applyFill="1" applyProtection="1">
      <protection locked="0"/>
    </xf>
    <xf numFmtId="40" fontId="2" fillId="0" borderId="0" xfId="0" applyNumberFormat="1" applyFont="1" applyFill="1" applyProtection="1">
      <protection locked="0"/>
    </xf>
    <xf numFmtId="40" fontId="8" fillId="0" borderId="1" xfId="0" applyNumberFormat="1" applyFont="1" applyFill="1" applyBorder="1" applyAlignment="1" applyProtection="1">
      <alignment horizontal="center"/>
      <protection locked="0"/>
    </xf>
    <xf numFmtId="40" fontId="8" fillId="0" borderId="0" xfId="0" applyNumberFormat="1" applyFont="1" applyFill="1" applyAlignment="1">
      <alignment horizontal="center"/>
    </xf>
    <xf numFmtId="40" fontId="20" fillId="0" borderId="0" xfId="0" applyNumberFormat="1" applyFont="1" applyFill="1"/>
    <xf numFmtId="14" fontId="24" fillId="0" borderId="51" xfId="0" applyNumberFormat="1" applyFont="1" applyFill="1" applyBorder="1" applyAlignment="1">
      <alignment horizontal="center" vertical="center" wrapText="1"/>
    </xf>
    <xf numFmtId="0" fontId="24" fillId="0" borderId="51" xfId="5" applyNumberFormat="1" applyFont="1" applyFill="1" applyBorder="1" applyAlignment="1">
      <alignment horizontal="center" vertical="center" wrapText="1"/>
    </xf>
    <xf numFmtId="0" fontId="25" fillId="0" borderId="52" xfId="0" applyNumberFormat="1" applyFont="1" applyFill="1" applyBorder="1" applyAlignment="1">
      <alignment horizontal="center" vertical="center" wrapText="1"/>
    </xf>
    <xf numFmtId="0" fontId="25" fillId="0" borderId="52" xfId="5" applyNumberFormat="1" applyFont="1" applyFill="1" applyBorder="1" applyAlignment="1">
      <alignment horizontal="center" vertical="center" wrapText="1"/>
    </xf>
    <xf numFmtId="0" fontId="25" fillId="0" borderId="51" xfId="0" applyNumberFormat="1" applyFont="1" applyFill="1" applyBorder="1" applyAlignment="1">
      <alignment horizontal="center" vertical="center" wrapText="1"/>
    </xf>
    <xf numFmtId="2" fontId="25" fillId="0" borderId="52" xfId="0" applyNumberFormat="1" applyFont="1" applyFill="1" applyBorder="1" applyAlignment="1">
      <alignment horizontal="center" vertical="center" wrapText="1"/>
    </xf>
    <xf numFmtId="167" fontId="28" fillId="0" borderId="0" xfId="6" applyNumberFormat="1" applyFont="1" applyFill="1" applyAlignment="1">
      <alignment horizontal="left"/>
    </xf>
    <xf numFmtId="0" fontId="28" fillId="0" borderId="0" xfId="6" applyNumberFormat="1" applyFont="1" applyFill="1" applyAlignment="1">
      <alignment horizontal="left"/>
    </xf>
    <xf numFmtId="0" fontId="26" fillId="0" borderId="0" xfId="0" applyNumberFormat="1" applyFont="1" applyFill="1" applyAlignment="1">
      <alignment horizontal="left"/>
    </xf>
    <xf numFmtId="2" fontId="28" fillId="0" borderId="0" xfId="6" applyNumberFormat="1" applyFont="1" applyFill="1" applyAlignment="1">
      <alignment horizontal="left"/>
    </xf>
    <xf numFmtId="167" fontId="26" fillId="0" borderId="0" xfId="0" applyNumberFormat="1" applyFont="1" applyFill="1" applyAlignment="1">
      <alignment horizontal="left"/>
    </xf>
    <xf numFmtId="0" fontId="24" fillId="0" borderId="51" xfId="0" applyNumberFormat="1" applyFont="1" applyFill="1" applyBorder="1" applyAlignment="1">
      <alignment horizontal="center" vertical="center" wrapText="1"/>
    </xf>
    <xf numFmtId="1" fontId="0" fillId="3" borderId="0" xfId="0" applyNumberFormat="1" applyFill="1" applyProtection="1">
      <protection locked="0"/>
    </xf>
    <xf numFmtId="4" fontId="1" fillId="0" borderId="0" xfId="0" applyNumberFormat="1" applyFont="1" applyProtection="1">
      <protection locked="0"/>
    </xf>
    <xf numFmtId="4" fontId="1" fillId="0" borderId="0" xfId="0" applyNumberFormat="1" applyFont="1" applyAlignment="1" applyProtection="1">
      <alignment horizontal="center"/>
      <protection locked="0"/>
    </xf>
    <xf numFmtId="40" fontId="0" fillId="0" borderId="0" xfId="0" applyNumberFormat="1" applyFill="1" applyBorder="1"/>
    <xf numFmtId="0" fontId="8" fillId="0" borderId="0" xfId="0" applyFont="1" applyFill="1" applyBorder="1" applyAlignment="1">
      <alignment horizontal="center"/>
    </xf>
    <xf numFmtId="40" fontId="8" fillId="0" borderId="0" xfId="0" applyNumberFormat="1" applyFont="1" applyFill="1" applyBorder="1" applyAlignment="1">
      <alignment horizontal="center"/>
    </xf>
    <xf numFmtId="0" fontId="1" fillId="0" borderId="0" xfId="0" applyFont="1" applyProtection="1">
      <protection locked="0"/>
    </xf>
    <xf numFmtId="168" fontId="0" fillId="0" borderId="0" xfId="0" applyNumberFormat="1"/>
    <xf numFmtId="14" fontId="0" fillId="0" borderId="0" xfId="0" applyNumberFormat="1"/>
    <xf numFmtId="2" fontId="0" fillId="0" borderId="0" xfId="0" applyNumberFormat="1"/>
    <xf numFmtId="2" fontId="0" fillId="3" borderId="0" xfId="0" applyNumberFormat="1" applyFill="1"/>
    <xf numFmtId="168" fontId="0" fillId="3" borderId="0" xfId="0" applyNumberFormat="1" applyFill="1"/>
    <xf numFmtId="14" fontId="0" fillId="2" borderId="0" xfId="0" applyNumberFormat="1" applyFill="1"/>
    <xf numFmtId="22" fontId="0" fillId="12" borderId="0" xfId="0" applyNumberFormat="1" applyFill="1"/>
    <xf numFmtId="165" fontId="0" fillId="3" borderId="0" xfId="0" applyNumberFormat="1" applyFill="1"/>
    <xf numFmtId="165" fontId="0" fillId="3" borderId="0" xfId="0" applyNumberFormat="1" applyFill="1" applyProtection="1">
      <protection locked="0"/>
    </xf>
    <xf numFmtId="169" fontId="0" fillId="8" borderId="0" xfId="0" applyNumberFormat="1" applyFill="1" applyProtection="1">
      <protection locked="0"/>
    </xf>
    <xf numFmtId="4" fontId="0" fillId="0" borderId="0" xfId="0" applyNumberFormat="1"/>
    <xf numFmtId="4" fontId="0" fillId="3" borderId="0" xfId="0" applyNumberFormat="1" applyFill="1"/>
    <xf numFmtId="0" fontId="1" fillId="0" borderId="0" xfId="0" applyFont="1" applyAlignment="1">
      <alignment horizontal="center"/>
    </xf>
    <xf numFmtId="0" fontId="0" fillId="0" borderId="0" xfId="0" quotePrefix="1" applyNumberFormat="1"/>
    <xf numFmtId="14" fontId="0" fillId="3" borderId="0" xfId="0" applyNumberFormat="1" applyFill="1"/>
    <xf numFmtId="0" fontId="0" fillId="15" borderId="0" xfId="0" applyFill="1"/>
    <xf numFmtId="0" fontId="1" fillId="0" borderId="0" xfId="0" applyFont="1" applyAlignment="1">
      <alignment horizontal="center"/>
    </xf>
    <xf numFmtId="40" fontId="8" fillId="0" borderId="0" xfId="0" applyNumberFormat="1" applyFont="1" applyAlignment="1">
      <alignment horizontal="center"/>
    </xf>
    <xf numFmtId="40" fontId="8" fillId="0" borderId="0" xfId="0" applyNumberFormat="1" applyFont="1" applyAlignment="1" applyProtection="1">
      <alignment horizontal="center"/>
      <protection locked="0"/>
    </xf>
    <xf numFmtId="0" fontId="8" fillId="0" borderId="20" xfId="1" applyFont="1" applyBorder="1" applyAlignment="1">
      <alignment horizontal="center"/>
    </xf>
    <xf numFmtId="0" fontId="8" fillId="0" borderId="18" xfId="1" applyFont="1" applyBorder="1" applyAlignment="1">
      <alignment horizontal="center"/>
    </xf>
    <xf numFmtId="0" fontId="8" fillId="0" borderId="21" xfId="1" applyFont="1" applyBorder="1" applyAlignment="1"/>
    <xf numFmtId="0" fontId="8" fillId="0" borderId="19" xfId="1" applyFont="1" applyBorder="1" applyAlignment="1"/>
    <xf numFmtId="0" fontId="8" fillId="0" borderId="16" xfId="1" applyFont="1" applyBorder="1" applyAlignment="1">
      <alignment horizontal="center"/>
    </xf>
    <xf numFmtId="0" fontId="2" fillId="0" borderId="22" xfId="1" applyBorder="1" applyAlignment="1">
      <alignment horizontal="center"/>
    </xf>
    <xf numFmtId="0" fontId="2" fillId="0" borderId="23" xfId="1" applyBorder="1" applyAlignment="1">
      <alignment horizontal="center"/>
    </xf>
    <xf numFmtId="0" fontId="12" fillId="0" borderId="0" xfId="1" applyFont="1" applyAlignment="1">
      <alignment wrapText="1"/>
    </xf>
    <xf numFmtId="0" fontId="2" fillId="0" borderId="0" xfId="1" applyAlignment="1"/>
    <xf numFmtId="0" fontId="13" fillId="7" borderId="33" xfId="0" applyFont="1" applyFill="1" applyBorder="1" applyAlignment="1">
      <alignment horizontal="center" vertical="center" wrapText="1"/>
    </xf>
    <xf numFmtId="0" fontId="13" fillId="7" borderId="35" xfId="0" applyFont="1" applyFill="1" applyBorder="1" applyAlignment="1">
      <alignment horizontal="center" vertical="center" wrapText="1"/>
    </xf>
    <xf numFmtId="0" fontId="13" fillId="7" borderId="28" xfId="0" applyFont="1" applyFill="1" applyBorder="1" applyAlignment="1">
      <alignment horizontal="center" vertical="center" wrapText="1"/>
    </xf>
    <xf numFmtId="0" fontId="13" fillId="7" borderId="29" xfId="0" applyFont="1" applyFill="1" applyBorder="1" applyAlignment="1">
      <alignment horizontal="center" vertical="center" wrapText="1"/>
    </xf>
    <xf numFmtId="0" fontId="15" fillId="6" borderId="41" xfId="0" applyFont="1" applyFill="1" applyBorder="1" applyAlignment="1">
      <alignment horizontal="center" vertical="center" wrapText="1"/>
    </xf>
    <xf numFmtId="0" fontId="15" fillId="6" borderId="42" xfId="0" applyFont="1" applyFill="1" applyBorder="1" applyAlignment="1">
      <alignment horizontal="center" vertical="center" wrapText="1"/>
    </xf>
    <xf numFmtId="0" fontId="16" fillId="6" borderId="43" xfId="0" applyFont="1" applyFill="1" applyBorder="1" applyAlignment="1">
      <alignment horizontal="center" vertical="center" wrapText="1"/>
    </xf>
    <xf numFmtId="0" fontId="16" fillId="6" borderId="0" xfId="0" applyFont="1" applyFill="1" applyBorder="1" applyAlignment="1">
      <alignment horizontal="center" vertical="center" wrapText="1"/>
    </xf>
    <xf numFmtId="0" fontId="16" fillId="6" borderId="48" xfId="0" applyFont="1" applyFill="1" applyBorder="1" applyAlignment="1">
      <alignment horizontal="center" vertical="center" wrapText="1"/>
    </xf>
    <xf numFmtId="0" fontId="16" fillId="6" borderId="30" xfId="0" applyFont="1" applyFill="1" applyBorder="1" applyAlignment="1">
      <alignment horizontal="center" vertical="center" wrapText="1"/>
    </xf>
    <xf numFmtId="6" fontId="18" fillId="6" borderId="25" xfId="0" applyNumberFormat="1" applyFont="1" applyFill="1" applyBorder="1" applyAlignment="1">
      <alignment horizontal="left" vertical="top" wrapText="1" indent="1"/>
    </xf>
    <xf numFmtId="6" fontId="18" fillId="6" borderId="32" xfId="0" applyNumberFormat="1" applyFont="1" applyFill="1" applyBorder="1" applyAlignment="1">
      <alignment horizontal="left" vertical="top" wrapText="1" indent="1"/>
    </xf>
    <xf numFmtId="0" fontId="13" fillId="7" borderId="30" xfId="0" applyFont="1" applyFill="1" applyBorder="1" applyAlignment="1">
      <alignment horizontal="center" vertical="center" wrapText="1"/>
    </xf>
    <xf numFmtId="0" fontId="13" fillId="7" borderId="31" xfId="0" applyFont="1" applyFill="1" applyBorder="1" applyAlignment="1">
      <alignment horizontal="center" vertical="center" wrapText="1"/>
    </xf>
    <xf numFmtId="0" fontId="13" fillId="7" borderId="32" xfId="0" applyFont="1" applyFill="1" applyBorder="1" applyAlignment="1">
      <alignment horizontal="center" vertical="center" wrapText="1"/>
    </xf>
    <xf numFmtId="0" fontId="13" fillId="7" borderId="26" xfId="0" applyFont="1" applyFill="1" applyBorder="1" applyAlignment="1">
      <alignment horizontal="center" vertical="center" wrapText="1"/>
    </xf>
    <xf numFmtId="0" fontId="17" fillId="6" borderId="44" xfId="0" applyFont="1" applyFill="1" applyBorder="1" applyAlignment="1">
      <alignment horizontal="left" vertical="top" wrapText="1" indent="1"/>
    </xf>
    <xf numFmtId="0" fontId="17" fillId="6" borderId="46" xfId="0" applyFont="1" applyFill="1" applyBorder="1" applyAlignment="1">
      <alignment horizontal="left" vertical="top" wrapText="1" indent="1"/>
    </xf>
    <xf numFmtId="0" fontId="19" fillId="6" borderId="45" xfId="0" applyFont="1" applyFill="1" applyBorder="1" applyAlignment="1">
      <alignment horizontal="center" vertical="top" wrapText="1"/>
    </xf>
    <xf numFmtId="0" fontId="19" fillId="6" borderId="40" xfId="0" applyFont="1" applyFill="1" applyBorder="1" applyAlignment="1">
      <alignment horizontal="center" vertical="top" wrapText="1"/>
    </xf>
    <xf numFmtId="0" fontId="17" fillId="6" borderId="49" xfId="0" applyFont="1" applyFill="1" applyBorder="1" applyAlignment="1">
      <alignment horizontal="left" vertical="top" wrapText="1" indent="1"/>
    </xf>
    <xf numFmtId="0" fontId="17" fillId="6" borderId="32" xfId="0" applyFont="1" applyFill="1" applyBorder="1" applyAlignment="1">
      <alignment horizontal="left" vertical="top" wrapText="1" indent="1"/>
    </xf>
  </cellXfs>
  <cellStyles count="7">
    <cellStyle name="Comma" xfId="3" builtinId="3"/>
    <cellStyle name="Currency" xfId="4" builtinId="4"/>
    <cellStyle name="Currency 2" xfId="5"/>
    <cellStyle name="Normal" xfId="0" builtinId="0"/>
    <cellStyle name="Normal 2" xfId="1"/>
    <cellStyle name="Normal 3" xfId="2"/>
    <cellStyle name="ReportData" xfId="6"/>
  </cellStyles>
  <dxfs count="19">
    <dxf>
      <font>
        <b/>
        <i val="0"/>
        <condense val="0"/>
        <extend val="0"/>
      </font>
      <fill>
        <patternFill>
          <bgColor indexed="10"/>
        </patternFill>
      </fill>
    </dxf>
    <dxf>
      <font>
        <b/>
        <i val="0"/>
        <condense val="0"/>
        <extend val="0"/>
      </font>
      <fill>
        <patternFill>
          <bgColor indexed="10"/>
        </patternFill>
      </fill>
    </dxf>
    <dxf>
      <font>
        <color rgb="FF9C0006"/>
      </font>
      <fill>
        <patternFill>
          <bgColor rgb="FFFFC7CE"/>
        </patternFill>
      </fill>
    </dxf>
    <dxf>
      <font>
        <color rgb="FFC00000"/>
      </font>
      <fill>
        <patternFill>
          <bgColor rgb="FFFFCCFF"/>
        </patternFill>
      </fill>
    </dxf>
    <dxf>
      <font>
        <color rgb="FF9C0006"/>
      </font>
      <fill>
        <patternFill>
          <bgColor rgb="FFFFC7CE"/>
        </patternFill>
      </fill>
    </dxf>
    <dxf>
      <font>
        <color rgb="FF9C0006"/>
      </font>
      <fill>
        <patternFill>
          <bgColor rgb="FFFFC7CE"/>
        </patternFill>
      </fill>
    </dxf>
    <dxf>
      <font>
        <color rgb="FFC00000"/>
      </font>
      <fill>
        <patternFill>
          <bgColor rgb="FFFFCCFF"/>
        </patternFill>
      </fill>
    </dxf>
    <dxf>
      <font>
        <color rgb="FF9C0006"/>
      </font>
      <fill>
        <patternFill>
          <bgColor rgb="FFFFC7CE"/>
        </patternFill>
      </fill>
    </dxf>
    <dxf>
      <font>
        <color rgb="FFC00000"/>
      </font>
      <fill>
        <patternFill>
          <bgColor rgb="FFFFCCFF"/>
        </patternFill>
      </fill>
    </dxf>
    <dxf>
      <font>
        <color rgb="FFC00000"/>
      </font>
      <fill>
        <patternFill>
          <fgColor auto="1"/>
          <bgColor rgb="FFFFCCFF"/>
        </patternFill>
      </fill>
    </dxf>
    <dxf>
      <font>
        <color rgb="FF9C0006"/>
      </font>
      <fill>
        <patternFill>
          <bgColor rgb="FFFFC7CE"/>
        </patternFill>
      </fill>
    </dxf>
    <dxf>
      <font>
        <color rgb="FFC00000"/>
      </font>
      <fill>
        <patternFill>
          <bgColor theme="5" tint="0.59996337778862885"/>
        </patternFill>
      </fill>
    </dxf>
    <dxf>
      <fill>
        <patternFill>
          <bgColor rgb="FFFFCCFF"/>
        </patternFill>
      </fill>
    </dxf>
    <dxf>
      <fill>
        <patternFill>
          <bgColor rgb="FFFFC7CE"/>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s>
  <tableStyles count="0" defaultTableStyle="TableStyleMedium2" defaultPivotStyle="PivotStyleMedium9"/>
  <colors>
    <mruColors>
      <color rgb="FFCCFFCC"/>
      <color rgb="FFFFCCFF"/>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447675</xdr:colOff>
          <xdr:row>2</xdr:row>
          <xdr:rowOff>114300</xdr:rowOff>
        </xdr:from>
        <xdr:to>
          <xdr:col>13</xdr:col>
          <xdr:colOff>381000</xdr:colOff>
          <xdr:row>3</xdr:row>
          <xdr:rowOff>161925</xdr:rowOff>
        </xdr:to>
        <xdr:sp macro="" textlink="">
          <xdr:nvSpPr>
            <xdr:cNvPr id="117762" name="Button 2" hidden="1">
              <a:extLst>
                <a:ext uri="{63B3BB69-23CF-44E3-9099-C40C66FF867C}">
                  <a14:compatExt spid="_x0000_s1177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447675</xdr:colOff>
          <xdr:row>2</xdr:row>
          <xdr:rowOff>114300</xdr:rowOff>
        </xdr:from>
        <xdr:to>
          <xdr:col>16</xdr:col>
          <xdr:colOff>381000</xdr:colOff>
          <xdr:row>3</xdr:row>
          <xdr:rowOff>161925</xdr:rowOff>
        </xdr:to>
        <xdr:sp macro="" textlink="">
          <xdr:nvSpPr>
            <xdr:cNvPr id="118786" name="Button 2" hidden="1">
              <a:extLst>
                <a:ext uri="{63B3BB69-23CF-44E3-9099-C40C66FF867C}">
                  <a14:compatExt spid="_x0000_s1187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6</xdr:row>
          <xdr:rowOff>114300</xdr:rowOff>
        </xdr:from>
        <xdr:to>
          <xdr:col>4</xdr:col>
          <xdr:colOff>381000</xdr:colOff>
          <xdr:row>8</xdr:row>
          <xdr:rowOff>28575</xdr:rowOff>
        </xdr:to>
        <xdr:sp macro="" textlink="">
          <xdr:nvSpPr>
            <xdr:cNvPr id="119810" name="Button 2" hidden="1">
              <a:extLst>
                <a:ext uri="{63B3BB69-23CF-44E3-9099-C40C66FF867C}">
                  <a14:compatExt spid="_x0000_s1198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447675</xdr:colOff>
          <xdr:row>3</xdr:row>
          <xdr:rowOff>114300</xdr:rowOff>
        </xdr:from>
        <xdr:to>
          <xdr:col>13</xdr:col>
          <xdr:colOff>381000</xdr:colOff>
          <xdr:row>4</xdr:row>
          <xdr:rowOff>161925</xdr:rowOff>
        </xdr:to>
        <xdr:sp macro="" textlink="">
          <xdr:nvSpPr>
            <xdr:cNvPr id="121858" name="Button 2" hidden="1">
              <a:extLst>
                <a:ext uri="{63B3BB69-23CF-44E3-9099-C40C66FF867C}">
                  <a14:compatExt spid="_x0000_s1218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447675</xdr:colOff>
          <xdr:row>2</xdr:row>
          <xdr:rowOff>114300</xdr:rowOff>
        </xdr:from>
        <xdr:to>
          <xdr:col>18</xdr:col>
          <xdr:colOff>381000</xdr:colOff>
          <xdr:row>3</xdr:row>
          <xdr:rowOff>161925</xdr:rowOff>
        </xdr:to>
        <xdr:sp macro="" textlink="">
          <xdr:nvSpPr>
            <xdr:cNvPr id="122881" name="Button 1" hidden="1">
              <a:extLst>
                <a:ext uri="{63B3BB69-23CF-44E3-9099-C40C66FF867C}">
                  <a14:compatExt spid="_x0000_s1228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447675</xdr:colOff>
          <xdr:row>9</xdr:row>
          <xdr:rowOff>114300</xdr:rowOff>
        </xdr:from>
        <xdr:to>
          <xdr:col>5</xdr:col>
          <xdr:colOff>381000</xdr:colOff>
          <xdr:row>11</xdr:row>
          <xdr:rowOff>28575</xdr:rowOff>
        </xdr:to>
        <xdr:sp macro="" textlink="">
          <xdr:nvSpPr>
            <xdr:cNvPr id="123906" name="Button 2" hidden="1">
              <a:extLst>
                <a:ext uri="{63B3BB69-23CF-44E3-9099-C40C66FF867C}">
                  <a14:compatExt spid="_x0000_s1239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7</xdr:row>
          <xdr:rowOff>114300</xdr:rowOff>
        </xdr:from>
        <xdr:to>
          <xdr:col>4</xdr:col>
          <xdr:colOff>381000</xdr:colOff>
          <xdr:row>9</xdr:row>
          <xdr:rowOff>28575</xdr:rowOff>
        </xdr:to>
        <xdr:sp macro="" textlink="">
          <xdr:nvSpPr>
            <xdr:cNvPr id="124930" name="Button 2" hidden="1">
              <a:extLst>
                <a:ext uri="{63B3BB69-23CF-44E3-9099-C40C66FF867C}">
                  <a14:compatExt spid="_x0000_s1249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8</xdr:row>
          <xdr:rowOff>114300</xdr:rowOff>
        </xdr:from>
        <xdr:to>
          <xdr:col>4</xdr:col>
          <xdr:colOff>381000</xdr:colOff>
          <xdr:row>10</xdr:row>
          <xdr:rowOff>28575</xdr:rowOff>
        </xdr:to>
        <xdr:sp macro="" textlink="">
          <xdr:nvSpPr>
            <xdr:cNvPr id="125954" name="Button 2" hidden="1">
              <a:extLst>
                <a:ext uri="{63B3BB69-23CF-44E3-9099-C40C66FF867C}">
                  <a14:compatExt spid="_x0000_s1259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7</xdr:row>
          <xdr:rowOff>114300</xdr:rowOff>
        </xdr:from>
        <xdr:to>
          <xdr:col>4</xdr:col>
          <xdr:colOff>381000</xdr:colOff>
          <xdr:row>9</xdr:row>
          <xdr:rowOff>28575</xdr:rowOff>
        </xdr:to>
        <xdr:sp macro="" textlink="">
          <xdr:nvSpPr>
            <xdr:cNvPr id="126978" name="Button 2" hidden="1">
              <a:extLst>
                <a:ext uri="{63B3BB69-23CF-44E3-9099-C40C66FF867C}">
                  <a14:compatExt spid="_x0000_s1269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447675</xdr:colOff>
          <xdr:row>2</xdr:row>
          <xdr:rowOff>114300</xdr:rowOff>
        </xdr:from>
        <xdr:to>
          <xdr:col>17</xdr:col>
          <xdr:colOff>381000</xdr:colOff>
          <xdr:row>3</xdr:row>
          <xdr:rowOff>161925</xdr:rowOff>
        </xdr:to>
        <xdr:sp macro="" textlink="">
          <xdr:nvSpPr>
            <xdr:cNvPr id="128002" name="Button 2" hidden="1">
              <a:extLst>
                <a:ext uri="{63B3BB69-23CF-44E3-9099-C40C66FF867C}">
                  <a14:compatExt spid="_x0000_s1280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447675</xdr:colOff>
          <xdr:row>16</xdr:row>
          <xdr:rowOff>114300</xdr:rowOff>
        </xdr:from>
        <xdr:to>
          <xdr:col>3</xdr:col>
          <xdr:colOff>381000</xdr:colOff>
          <xdr:row>18</xdr:row>
          <xdr:rowOff>28575</xdr:rowOff>
        </xdr:to>
        <xdr:sp macro="" textlink="">
          <xdr:nvSpPr>
            <xdr:cNvPr id="129026" name="Button 2" hidden="1">
              <a:extLst>
                <a:ext uri="{63B3BB69-23CF-44E3-9099-C40C66FF867C}">
                  <a14:compatExt spid="_x0000_s129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12</xdr:row>
          <xdr:rowOff>114300</xdr:rowOff>
        </xdr:from>
        <xdr:to>
          <xdr:col>4</xdr:col>
          <xdr:colOff>381000</xdr:colOff>
          <xdr:row>14</xdr:row>
          <xdr:rowOff>28575</xdr:rowOff>
        </xdr:to>
        <xdr:sp macro="" textlink="">
          <xdr:nvSpPr>
            <xdr:cNvPr id="130050" name="Button 2" hidden="1">
              <a:extLst>
                <a:ext uri="{63B3BB69-23CF-44E3-9099-C40C66FF867C}">
                  <a14:compatExt spid="_x0000_s130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447675</xdr:colOff>
          <xdr:row>9</xdr:row>
          <xdr:rowOff>114300</xdr:rowOff>
        </xdr:from>
        <xdr:to>
          <xdr:col>3</xdr:col>
          <xdr:colOff>381000</xdr:colOff>
          <xdr:row>11</xdr:row>
          <xdr:rowOff>28575</xdr:rowOff>
        </xdr:to>
        <xdr:sp macro="" textlink="">
          <xdr:nvSpPr>
            <xdr:cNvPr id="132098" name="Button 2" hidden="1">
              <a:extLst>
                <a:ext uri="{63B3BB69-23CF-44E3-9099-C40C66FF867C}">
                  <a14:compatExt spid="_x0000_s132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447675</xdr:colOff>
          <xdr:row>8</xdr:row>
          <xdr:rowOff>114300</xdr:rowOff>
        </xdr:from>
        <xdr:to>
          <xdr:col>3</xdr:col>
          <xdr:colOff>381000</xdr:colOff>
          <xdr:row>10</xdr:row>
          <xdr:rowOff>28575</xdr:rowOff>
        </xdr:to>
        <xdr:sp macro="" textlink="">
          <xdr:nvSpPr>
            <xdr:cNvPr id="133122" name="Button 2" hidden="1">
              <a:extLst>
                <a:ext uri="{63B3BB69-23CF-44E3-9099-C40C66FF867C}">
                  <a14:compatExt spid="_x0000_s133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4</xdr:row>
          <xdr:rowOff>0</xdr:rowOff>
        </xdr:from>
        <xdr:to>
          <xdr:col>9</xdr:col>
          <xdr:colOff>381000</xdr:colOff>
          <xdr:row>5</xdr:row>
          <xdr:rowOff>47625</xdr:rowOff>
        </xdr:to>
        <xdr:sp macro="" textlink="">
          <xdr:nvSpPr>
            <xdr:cNvPr id="134146" name="Button 2" hidden="1">
              <a:extLst>
                <a:ext uri="{63B3BB69-23CF-44E3-9099-C40C66FF867C}">
                  <a14:compatExt spid="_x0000_s134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4</xdr:row>
          <xdr:rowOff>171450</xdr:rowOff>
        </xdr:from>
        <xdr:to>
          <xdr:col>1</xdr:col>
          <xdr:colOff>1200150</xdr:colOff>
          <xdr:row>4</xdr:row>
          <xdr:rowOff>371475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Alert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171450</xdr:rowOff>
        </xdr:from>
        <xdr:to>
          <xdr:col>1</xdr:col>
          <xdr:colOff>1200150</xdr:colOff>
          <xdr:row>7</xdr:row>
          <xdr:rowOff>371475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Arrears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171450</xdr:rowOff>
        </xdr:from>
        <xdr:to>
          <xdr:col>1</xdr:col>
          <xdr:colOff>1200150</xdr:colOff>
          <xdr:row>8</xdr:row>
          <xdr:rowOff>371475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Taxes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171450</xdr:rowOff>
        </xdr:from>
        <xdr:to>
          <xdr:col>1</xdr:col>
          <xdr:colOff>1200150</xdr:colOff>
          <xdr:row>12</xdr:row>
          <xdr:rowOff>371475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171450</xdr:rowOff>
        </xdr:from>
        <xdr:to>
          <xdr:col>1</xdr:col>
          <xdr:colOff>1200150</xdr:colOff>
          <xdr:row>13</xdr:row>
          <xdr:rowOff>371475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171450</xdr:rowOff>
        </xdr:from>
        <xdr:to>
          <xdr:col>1</xdr:col>
          <xdr:colOff>1200150</xdr:colOff>
          <xdr:row>14</xdr:row>
          <xdr:rowOff>371475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Marketing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171450</xdr:rowOff>
        </xdr:from>
        <xdr:to>
          <xdr:col>1</xdr:col>
          <xdr:colOff>1200150</xdr:colOff>
          <xdr:row>15</xdr:row>
          <xdr:rowOff>371475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Non-Discharge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171450</xdr:rowOff>
        </xdr:from>
        <xdr:to>
          <xdr:col>1</xdr:col>
          <xdr:colOff>1200150</xdr:colOff>
          <xdr:row>16</xdr:row>
          <xdr:rowOff>371475</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Unsecured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171450</xdr:rowOff>
        </xdr:from>
        <xdr:to>
          <xdr:col>1</xdr:col>
          <xdr:colOff>1200150</xdr:colOff>
          <xdr:row>17</xdr:row>
          <xdr:rowOff>371475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Vehicles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171450</xdr:rowOff>
        </xdr:from>
        <xdr:to>
          <xdr:col>1</xdr:col>
          <xdr:colOff>1200150</xdr:colOff>
          <xdr:row>18</xdr:row>
          <xdr:rowOff>371475</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Real 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171450</xdr:rowOff>
        </xdr:from>
        <xdr:to>
          <xdr:col>1</xdr:col>
          <xdr:colOff>1200150</xdr:colOff>
          <xdr:row>21</xdr:row>
          <xdr:rowOff>371475</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Equity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171450</xdr:rowOff>
        </xdr:from>
        <xdr:to>
          <xdr:col>1</xdr:col>
          <xdr:colOff>1200150</xdr:colOff>
          <xdr:row>22</xdr:row>
          <xdr:rowOff>371475</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Chapter 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171450</xdr:rowOff>
        </xdr:from>
        <xdr:to>
          <xdr:col>1</xdr:col>
          <xdr:colOff>1200150</xdr:colOff>
          <xdr:row>23</xdr:row>
          <xdr:rowOff>371475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Means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171450</xdr:rowOff>
        </xdr:from>
        <xdr:to>
          <xdr:col>1</xdr:col>
          <xdr:colOff>1200150</xdr:colOff>
          <xdr:row>24</xdr:row>
          <xdr:rowOff>371475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Accounting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171450</xdr:rowOff>
        </xdr:from>
        <xdr:to>
          <xdr:col>1</xdr:col>
          <xdr:colOff>1200150</xdr:colOff>
          <xdr:row>5</xdr:row>
          <xdr:rowOff>371475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John's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171450</xdr:rowOff>
        </xdr:from>
        <xdr:to>
          <xdr:col>1</xdr:col>
          <xdr:colOff>1200150</xdr:colOff>
          <xdr:row>25</xdr:row>
          <xdr:rowOff>371475</xdr:rowOff>
        </xdr:to>
        <xdr:sp macro="" textlink="">
          <xdr:nvSpPr>
            <xdr:cNvPr id="1056" name="Button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4</xdr:row>
          <xdr:rowOff>171450</xdr:rowOff>
        </xdr:from>
        <xdr:to>
          <xdr:col>4</xdr:col>
          <xdr:colOff>1200150</xdr:colOff>
          <xdr:row>4</xdr:row>
          <xdr:rowOff>371475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Bank Accounts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171450</xdr:rowOff>
        </xdr:from>
        <xdr:to>
          <xdr:col>4</xdr:col>
          <xdr:colOff>1200150</xdr:colOff>
          <xdr:row>5</xdr:row>
          <xdr:rowOff>371475</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Basic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xdr:row>
          <xdr:rowOff>171450</xdr:rowOff>
        </xdr:from>
        <xdr:to>
          <xdr:col>4</xdr:col>
          <xdr:colOff>1200150</xdr:colOff>
          <xdr:row>6</xdr:row>
          <xdr:rowOff>371475</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Debt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xdr:row>
          <xdr:rowOff>171450</xdr:rowOff>
        </xdr:from>
        <xdr:to>
          <xdr:col>4</xdr:col>
          <xdr:colOff>1200150</xdr:colOff>
          <xdr:row>7</xdr:row>
          <xdr:rowOff>371475</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Raw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171450</xdr:rowOff>
        </xdr:from>
        <xdr:to>
          <xdr:col>4</xdr:col>
          <xdr:colOff>1200150</xdr:colOff>
          <xdr:row>8</xdr:row>
          <xdr:rowOff>371475</xdr:rowOff>
        </xdr:to>
        <xdr:sp macro="" textlink="">
          <xdr:nvSpPr>
            <xdr:cNvPr id="1062" name="Button 38" hidden="1">
              <a:extLst>
                <a:ext uri="{63B3BB69-23CF-44E3-9099-C40C66FF867C}">
                  <a14:compatExt spid="_x0000_s10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Household Goods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xdr:row>
          <xdr:rowOff>171450</xdr:rowOff>
        </xdr:from>
        <xdr:to>
          <xdr:col>4</xdr:col>
          <xdr:colOff>1200150</xdr:colOff>
          <xdr:row>9</xdr:row>
          <xdr:rowOff>371475</xdr:rowOff>
        </xdr:to>
        <xdr:sp macro="" textlink="">
          <xdr:nvSpPr>
            <xdr:cNvPr id="1063" name="Button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House 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xdr:row>
          <xdr:rowOff>171450</xdr:rowOff>
        </xdr:from>
        <xdr:to>
          <xdr:col>4</xdr:col>
          <xdr:colOff>1200150</xdr:colOff>
          <xdr:row>10</xdr:row>
          <xdr:rowOff>371475</xdr:rowOff>
        </xdr:to>
        <xdr:sp macro="" textlink="">
          <xdr:nvSpPr>
            <xdr:cNvPr id="1064" name="Button 40" hidden="1">
              <a:extLst>
                <a:ext uri="{63B3BB69-23CF-44E3-9099-C40C66FF867C}">
                  <a14:compatExt spid="_x0000_s10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Raw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xdr:row>
          <xdr:rowOff>171450</xdr:rowOff>
        </xdr:from>
        <xdr:to>
          <xdr:col>4</xdr:col>
          <xdr:colOff>1200150</xdr:colOff>
          <xdr:row>11</xdr:row>
          <xdr:rowOff>371475</xdr:rowOff>
        </xdr:to>
        <xdr:sp macro="" textlink="">
          <xdr:nvSpPr>
            <xdr:cNvPr id="1065" name="Button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Marketing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12</xdr:row>
          <xdr:rowOff>171450</xdr:rowOff>
        </xdr:from>
        <xdr:to>
          <xdr:col>4</xdr:col>
          <xdr:colOff>1200150</xdr:colOff>
          <xdr:row>12</xdr:row>
          <xdr:rowOff>371475</xdr:rowOff>
        </xdr:to>
        <xdr:sp macro="" textlink="">
          <xdr:nvSpPr>
            <xdr:cNvPr id="1066" name="Button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13</xdr:row>
          <xdr:rowOff>171450</xdr:rowOff>
        </xdr:from>
        <xdr:to>
          <xdr:col>4</xdr:col>
          <xdr:colOff>1200150</xdr:colOff>
          <xdr:row>13</xdr:row>
          <xdr:rowOff>371475</xdr:rowOff>
        </xdr:to>
        <xdr:sp macro="" textlink="">
          <xdr:nvSpPr>
            <xdr:cNvPr id="1067" name="Button 43" hidden="1">
              <a:extLst>
                <a:ext uri="{63B3BB69-23CF-44E3-9099-C40C66FF867C}">
                  <a14:compatExt spid="_x0000_s10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Personal 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14</xdr:row>
          <xdr:rowOff>171450</xdr:rowOff>
        </xdr:from>
        <xdr:to>
          <xdr:col>4</xdr:col>
          <xdr:colOff>1200150</xdr:colOff>
          <xdr:row>14</xdr:row>
          <xdr:rowOff>371475</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Real 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15</xdr:row>
          <xdr:rowOff>171450</xdr:rowOff>
        </xdr:from>
        <xdr:to>
          <xdr:col>4</xdr:col>
          <xdr:colOff>1200150</xdr:colOff>
          <xdr:row>15</xdr:row>
          <xdr:rowOff>371475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Rent to 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16</xdr:row>
          <xdr:rowOff>171450</xdr:rowOff>
        </xdr:from>
        <xdr:to>
          <xdr:col>4</xdr:col>
          <xdr:colOff>1200150</xdr:colOff>
          <xdr:row>16</xdr:row>
          <xdr:rowOff>371475</xdr:rowOff>
        </xdr:to>
        <xdr:sp macro="" textlink="">
          <xdr:nvSpPr>
            <xdr:cNvPr id="1070" name="Button 46" hidden="1">
              <a:extLst>
                <a:ext uri="{63B3BB69-23CF-44E3-9099-C40C66FF867C}">
                  <a14:compatExt spid="_x0000_s10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Taxes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17</xdr:row>
          <xdr:rowOff>171450</xdr:rowOff>
        </xdr:from>
        <xdr:to>
          <xdr:col>4</xdr:col>
          <xdr:colOff>1200150</xdr:colOff>
          <xdr:row>17</xdr:row>
          <xdr:rowOff>371475</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Vehicle Loans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xdr:row>
          <xdr:rowOff>171450</xdr:rowOff>
        </xdr:from>
        <xdr:to>
          <xdr:col>4</xdr:col>
          <xdr:colOff>1200150</xdr:colOff>
          <xdr:row>18</xdr:row>
          <xdr:rowOff>371475</xdr:rowOff>
        </xdr:to>
        <xdr:sp macro="" textlink="">
          <xdr:nvSpPr>
            <xdr:cNvPr id="1072" name="Button 48" hidden="1">
              <a:extLst>
                <a:ext uri="{63B3BB69-23CF-44E3-9099-C40C66FF867C}">
                  <a14:compatExt spid="_x0000_s10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Vehicles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xdr:row>
          <xdr:rowOff>171450</xdr:rowOff>
        </xdr:from>
        <xdr:to>
          <xdr:col>1</xdr:col>
          <xdr:colOff>1200150</xdr:colOff>
          <xdr:row>3</xdr:row>
          <xdr:rowOff>371475</xdr:rowOff>
        </xdr:to>
        <xdr:sp macro="" textlink="">
          <xdr:nvSpPr>
            <xdr:cNvPr id="1073" name="Button 49" hidden="1">
              <a:extLst>
                <a:ext uri="{63B3BB69-23CF-44E3-9099-C40C66FF867C}">
                  <a14:compatExt spid="_x0000_s1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Basic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171450</xdr:rowOff>
        </xdr:from>
        <xdr:to>
          <xdr:col>1</xdr:col>
          <xdr:colOff>1200150</xdr:colOff>
          <xdr:row>10</xdr:row>
          <xdr:rowOff>371475</xdr:rowOff>
        </xdr:to>
        <xdr:sp macro="" textlink="">
          <xdr:nvSpPr>
            <xdr:cNvPr id="1074" name="Button 50" hidden="1">
              <a:extLst>
                <a:ext uri="{63B3BB69-23CF-44E3-9099-C40C66FF867C}">
                  <a14:compatExt spid="_x0000_s1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Debt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171450</xdr:rowOff>
        </xdr:from>
        <xdr:to>
          <xdr:col>1</xdr:col>
          <xdr:colOff>1200150</xdr:colOff>
          <xdr:row>11</xdr:row>
          <xdr:rowOff>371475</xdr:rowOff>
        </xdr:to>
        <xdr:sp macro="" textlink="">
          <xdr:nvSpPr>
            <xdr:cNvPr id="1075" name="Button 51" hidden="1">
              <a:extLst>
                <a:ext uri="{63B3BB69-23CF-44E3-9099-C40C66FF867C}">
                  <a14:compatExt spid="_x0000_s1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171450</xdr:rowOff>
        </xdr:from>
        <xdr:to>
          <xdr:col>1</xdr:col>
          <xdr:colOff>1200150</xdr:colOff>
          <xdr:row>20</xdr:row>
          <xdr:rowOff>371475</xdr:rowOff>
        </xdr:to>
        <xdr:sp macro="" textlink="">
          <xdr:nvSpPr>
            <xdr:cNvPr id="1076" name="Button 52" hidden="1">
              <a:extLst>
                <a:ext uri="{63B3BB69-23CF-44E3-9099-C40C66FF867C}">
                  <a14:compatExt spid="_x0000_s1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Rent to 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171450</xdr:rowOff>
        </xdr:from>
        <xdr:to>
          <xdr:col>1</xdr:col>
          <xdr:colOff>1200150</xdr:colOff>
          <xdr:row>9</xdr:row>
          <xdr:rowOff>371475</xdr:rowOff>
        </xdr:to>
        <xdr:sp macro="" textlink="">
          <xdr:nvSpPr>
            <xdr:cNvPr id="1077" name="Button 53" hidden="1">
              <a:extLst>
                <a:ext uri="{63B3BB69-23CF-44E3-9099-C40C66FF867C}">
                  <a14:compatExt spid="_x0000_s1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Emergencies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171450</xdr:rowOff>
        </xdr:from>
        <xdr:to>
          <xdr:col>1</xdr:col>
          <xdr:colOff>1200150</xdr:colOff>
          <xdr:row>6</xdr:row>
          <xdr:rowOff>371475</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171450</xdr:rowOff>
        </xdr:from>
        <xdr:to>
          <xdr:col>1</xdr:col>
          <xdr:colOff>1200150</xdr:colOff>
          <xdr:row>19</xdr:row>
          <xdr:rowOff>371475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Non-Vehicle Sec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4</xdr:row>
          <xdr:rowOff>171450</xdr:rowOff>
        </xdr:from>
        <xdr:to>
          <xdr:col>6</xdr:col>
          <xdr:colOff>1200150</xdr:colOff>
          <xdr:row>4</xdr:row>
          <xdr:rowOff>371475</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Cleaner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5</xdr:row>
          <xdr:rowOff>171450</xdr:rowOff>
        </xdr:from>
        <xdr:to>
          <xdr:col>6</xdr:col>
          <xdr:colOff>1200150</xdr:colOff>
          <xdr:row>5</xdr:row>
          <xdr:rowOff>371475</xdr:rowOff>
        </xdr:to>
        <xdr:sp macro="" textlink="">
          <xdr:nvSpPr>
            <xdr:cNvPr id="1085" name="Button 61" hidden="1">
              <a:extLst>
                <a:ext uri="{63B3BB69-23CF-44E3-9099-C40C66FF867C}">
                  <a14:compatExt spid="_x0000_s10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Mover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447675</xdr:colOff>
          <xdr:row>0</xdr:row>
          <xdr:rowOff>114300</xdr:rowOff>
        </xdr:from>
        <xdr:to>
          <xdr:col>2</xdr:col>
          <xdr:colOff>990600</xdr:colOff>
          <xdr:row>1</xdr:row>
          <xdr:rowOff>161925</xdr:rowOff>
        </xdr:to>
        <xdr:sp macro="" textlink="">
          <xdr:nvSpPr>
            <xdr:cNvPr id="52226" name="Button 2" hidden="1">
              <a:extLst>
                <a:ext uri="{63B3BB69-23CF-44E3-9099-C40C66FF867C}">
                  <a14:compatExt spid="_x0000_s522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447675</xdr:colOff>
          <xdr:row>0</xdr:row>
          <xdr:rowOff>114300</xdr:rowOff>
        </xdr:from>
        <xdr:to>
          <xdr:col>1</xdr:col>
          <xdr:colOff>66675</xdr:colOff>
          <xdr:row>1</xdr:row>
          <xdr:rowOff>161925</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1</xdr:row>
          <xdr:rowOff>114300</xdr:rowOff>
        </xdr:from>
        <xdr:to>
          <xdr:col>3</xdr:col>
          <xdr:colOff>990600</xdr:colOff>
          <xdr:row>2</xdr:row>
          <xdr:rowOff>161925</xdr:rowOff>
        </xdr:to>
        <xdr:sp macro="" textlink="">
          <xdr:nvSpPr>
            <xdr:cNvPr id="19458" name="Button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447675</xdr:colOff>
          <xdr:row>0</xdr:row>
          <xdr:rowOff>114300</xdr:rowOff>
        </xdr:from>
        <xdr:to>
          <xdr:col>2</xdr:col>
          <xdr:colOff>390525</xdr:colOff>
          <xdr:row>1</xdr:row>
          <xdr:rowOff>161925</xdr:rowOff>
        </xdr:to>
        <xdr:sp macro="" textlink="">
          <xdr:nvSpPr>
            <xdr:cNvPr id="20482" name="Button 2" hidden="1">
              <a:extLst>
                <a:ext uri="{63B3BB69-23CF-44E3-9099-C40C66FF867C}">
                  <a14:compatExt spid="_x0000_s204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447675</xdr:colOff>
          <xdr:row>1</xdr:row>
          <xdr:rowOff>114300</xdr:rowOff>
        </xdr:from>
        <xdr:to>
          <xdr:col>2</xdr:col>
          <xdr:colOff>266700</xdr:colOff>
          <xdr:row>2</xdr:row>
          <xdr:rowOff>161925</xdr:rowOff>
        </xdr:to>
        <xdr:sp macro="" textlink="">
          <xdr:nvSpPr>
            <xdr:cNvPr id="51202" name="Button 2" hidden="1">
              <a:extLst>
                <a:ext uri="{63B3BB69-23CF-44E3-9099-C40C66FF867C}">
                  <a14:compatExt spid="_x0000_s512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1</xdr:row>
          <xdr:rowOff>114300</xdr:rowOff>
        </xdr:from>
        <xdr:to>
          <xdr:col>2</xdr:col>
          <xdr:colOff>1600200</xdr:colOff>
          <xdr:row>2</xdr:row>
          <xdr:rowOff>161925</xdr:rowOff>
        </xdr:to>
        <xdr:sp macro="" textlink="">
          <xdr:nvSpPr>
            <xdr:cNvPr id="53250" name="Button 2" hidden="1">
              <a:extLst>
                <a:ext uri="{63B3BB69-23CF-44E3-9099-C40C66FF867C}">
                  <a14:compatExt spid="_x0000_s53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447675</xdr:colOff>
          <xdr:row>1</xdr:row>
          <xdr:rowOff>114300</xdr:rowOff>
        </xdr:from>
        <xdr:to>
          <xdr:col>1</xdr:col>
          <xdr:colOff>1600200</xdr:colOff>
          <xdr:row>2</xdr:row>
          <xdr:rowOff>161925</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447675</xdr:colOff>
          <xdr:row>1</xdr:row>
          <xdr:rowOff>114300</xdr:rowOff>
        </xdr:from>
        <xdr:to>
          <xdr:col>2</xdr:col>
          <xdr:colOff>990600</xdr:colOff>
          <xdr:row>2</xdr:row>
          <xdr:rowOff>161925</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1</xdr:row>
          <xdr:rowOff>114300</xdr:rowOff>
        </xdr:from>
        <xdr:to>
          <xdr:col>3</xdr:col>
          <xdr:colOff>9525</xdr:colOff>
          <xdr:row>2</xdr:row>
          <xdr:rowOff>161925</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1</xdr:row>
          <xdr:rowOff>114300</xdr:rowOff>
        </xdr:from>
        <xdr:to>
          <xdr:col>3</xdr:col>
          <xdr:colOff>381000</xdr:colOff>
          <xdr:row>2</xdr:row>
          <xdr:rowOff>161925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1</xdr:row>
          <xdr:rowOff>114300</xdr:rowOff>
        </xdr:from>
        <xdr:to>
          <xdr:col>2</xdr:col>
          <xdr:colOff>1600200</xdr:colOff>
          <xdr:row>2</xdr:row>
          <xdr:rowOff>161925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2</xdr:row>
          <xdr:rowOff>114300</xdr:rowOff>
        </xdr:from>
        <xdr:to>
          <xdr:col>3</xdr:col>
          <xdr:colOff>9525</xdr:colOff>
          <xdr:row>3</xdr:row>
          <xdr:rowOff>161925</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2</xdr:row>
          <xdr:rowOff>114300</xdr:rowOff>
        </xdr:from>
        <xdr:to>
          <xdr:col>3</xdr:col>
          <xdr:colOff>695325</xdr:colOff>
          <xdr:row>3</xdr:row>
          <xdr:rowOff>161925</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2</xdr:row>
          <xdr:rowOff>114300</xdr:rowOff>
        </xdr:from>
        <xdr:to>
          <xdr:col>3</xdr:col>
          <xdr:colOff>333375</xdr:colOff>
          <xdr:row>3</xdr:row>
          <xdr:rowOff>161925</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2</xdr:row>
          <xdr:rowOff>114300</xdr:rowOff>
        </xdr:from>
        <xdr:to>
          <xdr:col>2</xdr:col>
          <xdr:colOff>1600200</xdr:colOff>
          <xdr:row>3</xdr:row>
          <xdr:rowOff>161925</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1</xdr:row>
          <xdr:rowOff>114300</xdr:rowOff>
        </xdr:from>
        <xdr:to>
          <xdr:col>4</xdr:col>
          <xdr:colOff>381000</xdr:colOff>
          <xdr:row>2</xdr:row>
          <xdr:rowOff>161925</xdr:rowOff>
        </xdr:to>
        <xdr:sp macro="" textlink="">
          <xdr:nvSpPr>
            <xdr:cNvPr id="109570" name="Button 2" hidden="1">
              <a:extLst>
                <a:ext uri="{63B3BB69-23CF-44E3-9099-C40C66FF867C}">
                  <a14:compatExt spid="_x0000_s1095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1</xdr:row>
          <xdr:rowOff>114300</xdr:rowOff>
        </xdr:from>
        <xdr:to>
          <xdr:col>3</xdr:col>
          <xdr:colOff>990600</xdr:colOff>
          <xdr:row>2</xdr:row>
          <xdr:rowOff>161925</xdr:rowOff>
        </xdr:to>
        <xdr:sp macro="" textlink="">
          <xdr:nvSpPr>
            <xdr:cNvPr id="55298" name="Button 2" hidden="1">
              <a:extLst>
                <a:ext uri="{63B3BB69-23CF-44E3-9099-C40C66FF867C}">
                  <a14:compatExt spid="_x0000_s55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2</xdr:row>
          <xdr:rowOff>114300</xdr:rowOff>
        </xdr:from>
        <xdr:to>
          <xdr:col>2</xdr:col>
          <xdr:colOff>628650</xdr:colOff>
          <xdr:row>3</xdr:row>
          <xdr:rowOff>161925</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1</xdr:row>
          <xdr:rowOff>114300</xdr:rowOff>
        </xdr:from>
        <xdr:to>
          <xdr:col>4</xdr:col>
          <xdr:colOff>381000</xdr:colOff>
          <xdr:row>2</xdr:row>
          <xdr:rowOff>161925</xdr:rowOff>
        </xdr:to>
        <xdr:sp macro="" textlink="">
          <xdr:nvSpPr>
            <xdr:cNvPr id="108546" name="Button 2" hidden="1">
              <a:extLst>
                <a:ext uri="{63B3BB69-23CF-44E3-9099-C40C66FF867C}">
                  <a14:compatExt spid="_x0000_s1085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1</xdr:row>
          <xdr:rowOff>114300</xdr:rowOff>
        </xdr:from>
        <xdr:to>
          <xdr:col>2</xdr:col>
          <xdr:colOff>790575</xdr:colOff>
          <xdr:row>2</xdr:row>
          <xdr:rowOff>161925</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1</xdr:row>
          <xdr:rowOff>114300</xdr:rowOff>
        </xdr:from>
        <xdr:to>
          <xdr:col>2</xdr:col>
          <xdr:colOff>990600</xdr:colOff>
          <xdr:row>2</xdr:row>
          <xdr:rowOff>161925</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1</xdr:row>
          <xdr:rowOff>114300</xdr:rowOff>
        </xdr:from>
        <xdr:to>
          <xdr:col>2</xdr:col>
          <xdr:colOff>971550</xdr:colOff>
          <xdr:row>2</xdr:row>
          <xdr:rowOff>161925</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1</xdr:row>
          <xdr:rowOff>114300</xdr:rowOff>
        </xdr:from>
        <xdr:to>
          <xdr:col>4</xdr:col>
          <xdr:colOff>381000</xdr:colOff>
          <xdr:row>2</xdr:row>
          <xdr:rowOff>161925</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Back to Analysis Menu</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5.xml"/><Relationship Id="rId18" Type="http://schemas.openxmlformats.org/officeDocument/2006/relationships/ctrlProp" Target="../ctrlProps/ctrlProp30.xml"/><Relationship Id="rId26" Type="http://schemas.openxmlformats.org/officeDocument/2006/relationships/ctrlProp" Target="../ctrlProps/ctrlProp38.xml"/><Relationship Id="rId39" Type="http://schemas.openxmlformats.org/officeDocument/2006/relationships/ctrlProp" Target="../ctrlProps/ctrlProp51.xml"/><Relationship Id="rId21" Type="http://schemas.openxmlformats.org/officeDocument/2006/relationships/ctrlProp" Target="../ctrlProps/ctrlProp33.xml"/><Relationship Id="rId34" Type="http://schemas.openxmlformats.org/officeDocument/2006/relationships/ctrlProp" Target="../ctrlProps/ctrlProp46.xml"/><Relationship Id="rId42" Type="http://schemas.openxmlformats.org/officeDocument/2006/relationships/ctrlProp" Target="../ctrlProps/ctrlProp54.xml"/><Relationship Id="rId7" Type="http://schemas.openxmlformats.org/officeDocument/2006/relationships/ctrlProp" Target="../ctrlProps/ctrlProp19.xml"/><Relationship Id="rId2" Type="http://schemas.openxmlformats.org/officeDocument/2006/relationships/drawing" Target="../drawings/drawing16.xml"/><Relationship Id="rId16" Type="http://schemas.openxmlformats.org/officeDocument/2006/relationships/ctrlProp" Target="../ctrlProps/ctrlProp28.xml"/><Relationship Id="rId20" Type="http://schemas.openxmlformats.org/officeDocument/2006/relationships/ctrlProp" Target="../ctrlProps/ctrlProp32.xml"/><Relationship Id="rId29" Type="http://schemas.openxmlformats.org/officeDocument/2006/relationships/ctrlProp" Target="../ctrlProps/ctrlProp41.xml"/><Relationship Id="rId41" Type="http://schemas.openxmlformats.org/officeDocument/2006/relationships/ctrlProp" Target="../ctrlProps/ctrlProp53.xml"/><Relationship Id="rId1" Type="http://schemas.openxmlformats.org/officeDocument/2006/relationships/printerSettings" Target="../printerSettings/printerSettings2.bin"/><Relationship Id="rId6" Type="http://schemas.openxmlformats.org/officeDocument/2006/relationships/ctrlProp" Target="../ctrlProps/ctrlProp18.xml"/><Relationship Id="rId11" Type="http://schemas.openxmlformats.org/officeDocument/2006/relationships/ctrlProp" Target="../ctrlProps/ctrlProp23.xml"/><Relationship Id="rId24" Type="http://schemas.openxmlformats.org/officeDocument/2006/relationships/ctrlProp" Target="../ctrlProps/ctrlProp36.xml"/><Relationship Id="rId32" Type="http://schemas.openxmlformats.org/officeDocument/2006/relationships/ctrlProp" Target="../ctrlProps/ctrlProp44.xml"/><Relationship Id="rId37" Type="http://schemas.openxmlformats.org/officeDocument/2006/relationships/ctrlProp" Target="../ctrlProps/ctrlProp49.xml"/><Relationship Id="rId40" Type="http://schemas.openxmlformats.org/officeDocument/2006/relationships/ctrlProp" Target="../ctrlProps/ctrlProp52.xml"/><Relationship Id="rId5" Type="http://schemas.openxmlformats.org/officeDocument/2006/relationships/ctrlProp" Target="../ctrlProps/ctrlProp17.xml"/><Relationship Id="rId15" Type="http://schemas.openxmlformats.org/officeDocument/2006/relationships/ctrlProp" Target="../ctrlProps/ctrlProp27.xml"/><Relationship Id="rId23" Type="http://schemas.openxmlformats.org/officeDocument/2006/relationships/ctrlProp" Target="../ctrlProps/ctrlProp35.xml"/><Relationship Id="rId28" Type="http://schemas.openxmlformats.org/officeDocument/2006/relationships/ctrlProp" Target="../ctrlProps/ctrlProp40.xml"/><Relationship Id="rId36" Type="http://schemas.openxmlformats.org/officeDocument/2006/relationships/ctrlProp" Target="../ctrlProps/ctrlProp48.xml"/><Relationship Id="rId10" Type="http://schemas.openxmlformats.org/officeDocument/2006/relationships/ctrlProp" Target="../ctrlProps/ctrlProp22.xml"/><Relationship Id="rId19" Type="http://schemas.openxmlformats.org/officeDocument/2006/relationships/ctrlProp" Target="../ctrlProps/ctrlProp31.xml"/><Relationship Id="rId31" Type="http://schemas.openxmlformats.org/officeDocument/2006/relationships/ctrlProp" Target="../ctrlProps/ctrlProp43.xml"/><Relationship Id="rId44" Type="http://schemas.openxmlformats.org/officeDocument/2006/relationships/comments" Target="../comments1.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ctrlProp" Target="../ctrlProps/ctrlProp26.xml"/><Relationship Id="rId22" Type="http://schemas.openxmlformats.org/officeDocument/2006/relationships/ctrlProp" Target="../ctrlProps/ctrlProp34.xml"/><Relationship Id="rId27" Type="http://schemas.openxmlformats.org/officeDocument/2006/relationships/ctrlProp" Target="../ctrlProps/ctrlProp39.xml"/><Relationship Id="rId30" Type="http://schemas.openxmlformats.org/officeDocument/2006/relationships/ctrlProp" Target="../ctrlProps/ctrlProp42.xml"/><Relationship Id="rId35" Type="http://schemas.openxmlformats.org/officeDocument/2006/relationships/ctrlProp" Target="../ctrlProps/ctrlProp47.xml"/><Relationship Id="rId43" Type="http://schemas.openxmlformats.org/officeDocument/2006/relationships/ctrlProp" Target="../ctrlProps/ctrlProp55.xml"/><Relationship Id="rId8" Type="http://schemas.openxmlformats.org/officeDocument/2006/relationships/ctrlProp" Target="../ctrlProps/ctrlProp20.xml"/><Relationship Id="rId3" Type="http://schemas.openxmlformats.org/officeDocument/2006/relationships/vmlDrawing" Target="../drawings/vmlDrawing16.v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33" Type="http://schemas.openxmlformats.org/officeDocument/2006/relationships/ctrlProp" Target="../ctrlProps/ctrlProp45.xml"/><Relationship Id="rId38" Type="http://schemas.openxmlformats.org/officeDocument/2006/relationships/ctrlProp" Target="../ctrlProps/ctrlProp50.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6.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comments" Target="../comments2.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59.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65.xml"/><Relationship Id="rId2" Type="http://schemas.openxmlformats.org/officeDocument/2006/relationships/vmlDrawing" Target="../drawings/vmlDrawing26.vml"/><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67.xml"/><Relationship Id="rId2" Type="http://schemas.openxmlformats.org/officeDocument/2006/relationships/vmlDrawing" Target="../drawings/vmlDrawing28.vml"/><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68.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30.vml"/><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31.vml"/><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71.xml"/><Relationship Id="rId2" Type="http://schemas.openxmlformats.org/officeDocument/2006/relationships/vmlDrawing" Target="../drawings/vmlDrawing32.vml"/><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33.vml"/><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34.vml"/><Relationship Id="rId1" Type="http://schemas.openxmlformats.org/officeDocument/2006/relationships/drawing" Target="../drawings/drawing34.xml"/><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35.vml"/><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36.vml"/><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76.xml"/><Relationship Id="rId2" Type="http://schemas.openxmlformats.org/officeDocument/2006/relationships/vmlDrawing" Target="../drawings/vmlDrawing37.vml"/><Relationship Id="rId1" Type="http://schemas.openxmlformats.org/officeDocument/2006/relationships/drawing" Target="../drawings/drawing37.xml"/><Relationship Id="rId4" Type="http://schemas.openxmlformats.org/officeDocument/2006/relationships/comments" Target="../comments4.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77.xml"/><Relationship Id="rId2" Type="http://schemas.openxmlformats.org/officeDocument/2006/relationships/vmlDrawing" Target="../drawings/vmlDrawing38.vml"/><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39.vml"/><Relationship Id="rId1" Type="http://schemas.openxmlformats.org/officeDocument/2006/relationships/drawing" Target="../drawings/drawing3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G11"/>
  <sheetViews>
    <sheetView workbookViewId="0">
      <selection sqref="A1:H15"/>
    </sheetView>
  </sheetViews>
  <sheetFormatPr defaultRowHeight="12.75" x14ac:dyDescent="0.2"/>
  <cols>
    <col min="1" max="16384" width="9.140625" style="9"/>
  </cols>
  <sheetData>
    <row r="1" spans="1:7" ht="15" x14ac:dyDescent="0.25">
      <c r="A1" s="190"/>
      <c r="B1" s="190"/>
      <c r="C1" s="190"/>
      <c r="D1" s="190"/>
      <c r="E1" s="190"/>
      <c r="F1" s="190"/>
      <c r="G1" s="190"/>
    </row>
    <row r="2" spans="1:7" ht="15" x14ac:dyDescent="0.25">
      <c r="A2" s="190"/>
      <c r="B2"/>
      <c r="C2"/>
      <c r="D2"/>
      <c r="E2"/>
      <c r="F2"/>
      <c r="G2"/>
    </row>
    <row r="3" spans="1:7" ht="15" x14ac:dyDescent="0.25">
      <c r="A3" s="190"/>
      <c r="B3" s="190"/>
      <c r="C3" s="190"/>
      <c r="D3" s="190"/>
      <c r="E3"/>
      <c r="F3" s="190"/>
      <c r="G3" s="190"/>
    </row>
    <row r="4" spans="1:7" ht="15" x14ac:dyDescent="0.25">
      <c r="A4" s="190"/>
      <c r="B4" s="190"/>
      <c r="C4" s="190"/>
      <c r="D4" s="190"/>
      <c r="E4"/>
      <c r="F4" s="190"/>
      <c r="G4" s="190"/>
    </row>
    <row r="5" spans="1:7" ht="15" x14ac:dyDescent="0.25">
      <c r="A5" s="190"/>
      <c r="B5" s="190"/>
      <c r="C5" s="190"/>
      <c r="D5" s="190"/>
      <c r="E5"/>
      <c r="F5"/>
      <c r="G5" s="190"/>
    </row>
    <row r="6" spans="1:7" ht="15" x14ac:dyDescent="0.25">
      <c r="A6"/>
      <c r="B6"/>
      <c r="C6"/>
      <c r="D6"/>
      <c r="E6"/>
      <c r="F6"/>
      <c r="G6"/>
    </row>
    <row r="7" spans="1:7" ht="15" x14ac:dyDescent="0.25">
      <c r="A7"/>
      <c r="B7"/>
      <c r="C7"/>
      <c r="D7"/>
      <c r="E7"/>
      <c r="F7"/>
      <c r="G7"/>
    </row>
    <row r="8" spans="1:7" ht="15" x14ac:dyDescent="0.25">
      <c r="A8"/>
      <c r="B8"/>
      <c r="C8"/>
      <c r="D8"/>
      <c r="E8"/>
      <c r="F8"/>
      <c r="G8"/>
    </row>
    <row r="9" spans="1:7" ht="15" x14ac:dyDescent="0.25">
      <c r="A9"/>
      <c r="B9"/>
      <c r="C9"/>
      <c r="D9"/>
      <c r="E9"/>
      <c r="F9"/>
      <c r="G9"/>
    </row>
    <row r="10" spans="1:7" ht="15" x14ac:dyDescent="0.25">
      <c r="A10"/>
      <c r="B10"/>
      <c r="C10"/>
      <c r="D10"/>
      <c r="E10"/>
      <c r="F10"/>
      <c r="G10"/>
    </row>
    <row r="11" spans="1:7" ht="15" x14ac:dyDescent="0.25">
      <c r="A11"/>
      <c r="B11"/>
      <c r="C11"/>
      <c r="D11"/>
      <c r="E11"/>
      <c r="F11"/>
      <c r="G11"/>
    </row>
  </sheetData>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7762" r:id="rId4" name="Button 2">
              <controlPr defaultSize="0" print="0" autoFill="0" autoPict="0" macro="[0]!AnalysisMenu">
                <anchor moveWithCells="1">
                  <from>
                    <xdr:col>10</xdr:col>
                    <xdr:colOff>447675</xdr:colOff>
                    <xdr:row>2</xdr:row>
                    <xdr:rowOff>114300</xdr:rowOff>
                  </from>
                  <to>
                    <xdr:col>13</xdr:col>
                    <xdr:colOff>381000</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K11"/>
  <sheetViews>
    <sheetView workbookViewId="0">
      <selection sqref="A1:K11"/>
    </sheetView>
  </sheetViews>
  <sheetFormatPr defaultRowHeight="12.75" x14ac:dyDescent="0.2"/>
  <cols>
    <col min="1" max="16384" width="9.140625" style="9"/>
  </cols>
  <sheetData>
    <row r="1" spans="1:11" ht="15" x14ac:dyDescent="0.25">
      <c r="A1" s="190"/>
      <c r="B1" s="190"/>
      <c r="C1" s="190"/>
      <c r="D1" s="190"/>
      <c r="E1" s="190"/>
      <c r="F1" s="190"/>
      <c r="G1" s="190"/>
      <c r="H1" s="190"/>
      <c r="I1" s="190"/>
      <c r="J1" s="190"/>
      <c r="K1" s="190"/>
    </row>
    <row r="2" spans="1:11" ht="15" x14ac:dyDescent="0.25">
      <c r="A2" s="190"/>
      <c r="B2" s="190"/>
      <c r="C2" s="190"/>
      <c r="D2" s="190"/>
      <c r="E2" s="190"/>
      <c r="F2" s="190"/>
      <c r="G2" s="190"/>
      <c r="H2" s="190"/>
      <c r="I2" s="190"/>
      <c r="J2" s="190"/>
      <c r="K2" s="190"/>
    </row>
    <row r="3" spans="1:11" ht="15" x14ac:dyDescent="0.25">
      <c r="A3" s="190"/>
      <c r="B3" s="190"/>
      <c r="C3" s="190"/>
      <c r="D3" s="190"/>
      <c r="E3" s="190"/>
      <c r="F3" s="190"/>
      <c r="G3" s="190"/>
      <c r="H3" s="190"/>
      <c r="I3" s="190"/>
      <c r="J3" s="190"/>
      <c r="K3" s="190"/>
    </row>
    <row r="4" spans="1:11" ht="15" x14ac:dyDescent="0.25">
      <c r="A4" s="190"/>
      <c r="B4" s="190"/>
      <c r="C4" s="190"/>
      <c r="D4" s="190"/>
      <c r="E4" s="190"/>
      <c r="F4" s="190"/>
      <c r="G4" s="190"/>
      <c r="H4" s="190"/>
      <c r="I4" s="190"/>
      <c r="J4" s="190"/>
      <c r="K4" s="190"/>
    </row>
    <row r="5" spans="1:11" ht="15" x14ac:dyDescent="0.25">
      <c r="A5"/>
      <c r="B5"/>
      <c r="C5"/>
      <c r="D5"/>
      <c r="E5"/>
      <c r="F5"/>
      <c r="G5"/>
      <c r="H5"/>
      <c r="I5"/>
      <c r="J5"/>
      <c r="K5"/>
    </row>
    <row r="6" spans="1:11" ht="15" x14ac:dyDescent="0.25">
      <c r="A6"/>
      <c r="B6"/>
      <c r="C6"/>
      <c r="D6"/>
      <c r="E6"/>
      <c r="F6"/>
      <c r="G6"/>
      <c r="H6"/>
      <c r="I6"/>
      <c r="J6"/>
      <c r="K6"/>
    </row>
    <row r="7" spans="1:11" ht="15" x14ac:dyDescent="0.25">
      <c r="A7"/>
      <c r="B7"/>
      <c r="C7"/>
      <c r="D7"/>
      <c r="E7"/>
      <c r="F7"/>
      <c r="G7"/>
      <c r="H7"/>
      <c r="I7"/>
      <c r="J7"/>
      <c r="K7"/>
    </row>
    <row r="8" spans="1:11" ht="15" x14ac:dyDescent="0.25">
      <c r="A8"/>
      <c r="B8"/>
      <c r="C8"/>
      <c r="D8"/>
      <c r="E8"/>
      <c r="F8"/>
      <c r="G8"/>
      <c r="H8"/>
      <c r="I8"/>
      <c r="J8"/>
      <c r="K8"/>
    </row>
    <row r="9" spans="1:11" ht="15" x14ac:dyDescent="0.25">
      <c r="A9"/>
      <c r="B9"/>
      <c r="C9"/>
      <c r="D9"/>
      <c r="E9"/>
      <c r="F9"/>
      <c r="G9"/>
      <c r="H9"/>
      <c r="I9"/>
      <c r="J9"/>
      <c r="K9"/>
    </row>
    <row r="10" spans="1:11" ht="15" x14ac:dyDescent="0.25">
      <c r="A10"/>
      <c r="B10"/>
      <c r="C10"/>
      <c r="D10"/>
      <c r="E10"/>
      <c r="F10"/>
      <c r="G10"/>
      <c r="H10"/>
      <c r="I10"/>
      <c r="J10"/>
      <c r="K10"/>
    </row>
    <row r="11" spans="1:11" ht="15" x14ac:dyDescent="0.25">
      <c r="A11"/>
      <c r="B11"/>
      <c r="C11"/>
      <c r="D11"/>
      <c r="E11"/>
      <c r="F11"/>
      <c r="G11"/>
      <c r="H11"/>
      <c r="I11"/>
      <c r="J11"/>
      <c r="K11"/>
    </row>
  </sheetData>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18786" r:id="rId3" name="Button 2">
              <controlPr defaultSize="0" print="0" autoFill="0" autoPict="0" macro="[0]!AnalysisMenu">
                <anchor moveWithCells="1">
                  <from>
                    <xdr:col>13</xdr:col>
                    <xdr:colOff>447675</xdr:colOff>
                    <xdr:row>2</xdr:row>
                    <xdr:rowOff>114300</xdr:rowOff>
                  </from>
                  <to>
                    <xdr:col>16</xdr:col>
                    <xdr:colOff>381000</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AC2"/>
  <sheetViews>
    <sheetView workbookViewId="0">
      <selection sqref="A1:AC2"/>
    </sheetView>
  </sheetViews>
  <sheetFormatPr defaultRowHeight="12.75" x14ac:dyDescent="0.2"/>
  <cols>
    <col min="1" max="16384" width="9.140625" style="9"/>
  </cols>
  <sheetData>
    <row r="1" spans="1:29" ht="15"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row>
    <row r="2" spans="1:29" ht="15" x14ac:dyDescent="0.25">
      <c r="A2" s="190"/>
      <c r="B2"/>
      <c r="C2" s="190"/>
      <c r="D2"/>
      <c r="E2"/>
      <c r="F2" s="190"/>
      <c r="G2"/>
      <c r="H2"/>
      <c r="I2" s="190"/>
      <c r="J2"/>
      <c r="K2"/>
      <c r="L2"/>
      <c r="M2"/>
      <c r="N2"/>
      <c r="O2"/>
      <c r="P2"/>
      <c r="Q2"/>
      <c r="R2"/>
      <c r="S2"/>
      <c r="T2"/>
      <c r="U2"/>
      <c r="V2"/>
      <c r="W2"/>
      <c r="X2"/>
      <c r="Y2"/>
      <c r="Z2"/>
      <c r="AA2"/>
      <c r="AB2"/>
      <c r="AC2"/>
    </row>
  </sheetData>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19810" r:id="rId3" name="Button 2">
              <controlPr defaultSize="0" print="0" autoFill="0" autoPict="0" macro="[0]!AnalysisMenu">
                <anchor moveWithCells="1">
                  <from>
                    <xdr:col>1</xdr:col>
                    <xdr:colOff>447675</xdr:colOff>
                    <xdr:row>6</xdr:row>
                    <xdr:rowOff>114300</xdr:rowOff>
                  </from>
                  <to>
                    <xdr:col>4</xdr:col>
                    <xdr:colOff>381000</xdr:colOff>
                    <xdr:row>8</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J11"/>
  <sheetViews>
    <sheetView workbookViewId="0">
      <selection sqref="A1:J11"/>
    </sheetView>
  </sheetViews>
  <sheetFormatPr defaultRowHeight="12.75" x14ac:dyDescent="0.2"/>
  <cols>
    <col min="1" max="16384" width="9.140625" style="9"/>
  </cols>
  <sheetData>
    <row r="1" spans="1:10" ht="15" x14ac:dyDescent="0.25">
      <c r="A1" s="190"/>
      <c r="B1" s="190"/>
      <c r="C1" s="190"/>
      <c r="D1" s="190"/>
      <c r="E1" s="190"/>
      <c r="F1" s="190"/>
      <c r="G1" s="190"/>
      <c r="H1" s="190"/>
      <c r="I1" s="190"/>
      <c r="J1" s="190"/>
    </row>
    <row r="2" spans="1:10" ht="15" x14ac:dyDescent="0.25">
      <c r="A2" s="190"/>
      <c r="B2"/>
      <c r="C2" s="190"/>
      <c r="D2" s="190"/>
      <c r="E2"/>
      <c r="F2" s="190"/>
      <c r="G2"/>
      <c r="H2" s="190"/>
      <c r="I2"/>
      <c r="J2"/>
    </row>
    <row r="3" spans="1:10" ht="15" x14ac:dyDescent="0.25">
      <c r="A3"/>
      <c r="B3"/>
      <c r="C3"/>
      <c r="D3"/>
      <c r="E3"/>
      <c r="F3"/>
      <c r="G3"/>
      <c r="H3"/>
      <c r="I3"/>
      <c r="J3"/>
    </row>
    <row r="4" spans="1:10" ht="15" x14ac:dyDescent="0.25">
      <c r="A4"/>
      <c r="B4"/>
      <c r="C4"/>
      <c r="D4"/>
      <c r="E4"/>
      <c r="F4"/>
      <c r="G4"/>
      <c r="H4"/>
      <c r="I4"/>
      <c r="J4"/>
    </row>
    <row r="5" spans="1:10" ht="15" x14ac:dyDescent="0.25">
      <c r="A5"/>
      <c r="B5"/>
      <c r="C5"/>
      <c r="D5"/>
      <c r="E5"/>
      <c r="F5"/>
      <c r="G5"/>
      <c r="H5"/>
      <c r="I5"/>
      <c r="J5"/>
    </row>
    <row r="6" spans="1:10" ht="15" x14ac:dyDescent="0.25">
      <c r="A6"/>
      <c r="B6"/>
      <c r="C6"/>
      <c r="D6"/>
      <c r="E6"/>
      <c r="F6"/>
      <c r="G6"/>
      <c r="H6"/>
      <c r="I6"/>
      <c r="J6"/>
    </row>
    <row r="7" spans="1:10" ht="15" x14ac:dyDescent="0.25">
      <c r="A7"/>
      <c r="B7"/>
      <c r="C7"/>
      <c r="D7"/>
      <c r="E7"/>
      <c r="F7"/>
      <c r="G7"/>
      <c r="H7"/>
      <c r="I7"/>
      <c r="J7"/>
    </row>
    <row r="8" spans="1:10" ht="15" x14ac:dyDescent="0.25">
      <c r="A8"/>
      <c r="B8"/>
      <c r="C8"/>
      <c r="D8"/>
      <c r="E8"/>
      <c r="F8"/>
      <c r="G8"/>
      <c r="H8"/>
      <c r="I8"/>
      <c r="J8"/>
    </row>
    <row r="9" spans="1:10" ht="15" x14ac:dyDescent="0.25">
      <c r="A9"/>
      <c r="B9"/>
      <c r="C9"/>
      <c r="D9"/>
      <c r="E9"/>
      <c r="F9"/>
      <c r="G9"/>
      <c r="H9"/>
      <c r="I9"/>
      <c r="J9"/>
    </row>
    <row r="10" spans="1:10" ht="15" x14ac:dyDescent="0.25">
      <c r="A10"/>
      <c r="B10"/>
      <c r="C10"/>
      <c r="D10"/>
      <c r="E10"/>
      <c r="F10"/>
      <c r="G10"/>
      <c r="H10"/>
      <c r="I10"/>
      <c r="J10"/>
    </row>
    <row r="11" spans="1:10" ht="15" x14ac:dyDescent="0.25">
      <c r="A11"/>
      <c r="B11"/>
      <c r="C11"/>
      <c r="D11"/>
      <c r="E11"/>
      <c r="F11"/>
      <c r="G11"/>
      <c r="H11"/>
      <c r="I11"/>
      <c r="J11"/>
    </row>
  </sheetData>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G11"/>
  <sheetViews>
    <sheetView workbookViewId="0">
      <selection sqref="A1:G11"/>
    </sheetView>
  </sheetViews>
  <sheetFormatPr defaultRowHeight="12.75" x14ac:dyDescent="0.2"/>
  <cols>
    <col min="1" max="16384" width="9.140625" style="9"/>
  </cols>
  <sheetData>
    <row r="1" spans="1:7" ht="15" x14ac:dyDescent="0.25">
      <c r="A1" s="190"/>
      <c r="B1" s="190"/>
      <c r="C1" s="190"/>
      <c r="D1" s="190"/>
      <c r="E1" s="190"/>
      <c r="F1" s="190"/>
      <c r="G1" s="190"/>
    </row>
    <row r="2" spans="1:7" ht="15" x14ac:dyDescent="0.25">
      <c r="A2" s="190"/>
      <c r="B2"/>
      <c r="C2" s="190"/>
      <c r="D2" s="190"/>
      <c r="E2"/>
      <c r="F2" s="190"/>
      <c r="G2"/>
    </row>
    <row r="3" spans="1:7" ht="15" x14ac:dyDescent="0.25">
      <c r="A3"/>
      <c r="B3"/>
      <c r="C3"/>
      <c r="D3"/>
      <c r="E3"/>
      <c r="F3"/>
      <c r="G3"/>
    </row>
    <row r="4" spans="1:7" ht="15" x14ac:dyDescent="0.25">
      <c r="A4"/>
      <c r="B4"/>
      <c r="C4"/>
      <c r="D4"/>
      <c r="E4"/>
      <c r="F4"/>
      <c r="G4"/>
    </row>
    <row r="5" spans="1:7" ht="15" x14ac:dyDescent="0.25">
      <c r="A5"/>
      <c r="B5"/>
      <c r="C5"/>
      <c r="D5"/>
      <c r="E5"/>
      <c r="F5"/>
      <c r="G5"/>
    </row>
    <row r="6" spans="1:7" ht="15" x14ac:dyDescent="0.25">
      <c r="A6"/>
      <c r="B6"/>
      <c r="C6"/>
      <c r="D6"/>
      <c r="E6"/>
      <c r="F6"/>
      <c r="G6"/>
    </row>
    <row r="7" spans="1:7" ht="15" x14ac:dyDescent="0.25">
      <c r="A7"/>
      <c r="B7"/>
      <c r="C7"/>
      <c r="D7"/>
      <c r="E7"/>
      <c r="F7"/>
      <c r="G7"/>
    </row>
    <row r="8" spans="1:7" ht="15" x14ac:dyDescent="0.25">
      <c r="A8"/>
      <c r="B8"/>
      <c r="C8"/>
      <c r="D8"/>
      <c r="E8"/>
      <c r="F8"/>
      <c r="G8"/>
    </row>
    <row r="9" spans="1:7" ht="15" x14ac:dyDescent="0.25">
      <c r="A9"/>
      <c r="B9"/>
      <c r="C9"/>
      <c r="D9"/>
      <c r="E9"/>
      <c r="F9"/>
      <c r="G9"/>
    </row>
    <row r="10" spans="1:7" ht="15" x14ac:dyDescent="0.25">
      <c r="A10"/>
      <c r="B10"/>
      <c r="C10"/>
      <c r="D10"/>
      <c r="E10"/>
      <c r="F10"/>
      <c r="G10"/>
    </row>
    <row r="11" spans="1:7" ht="15" x14ac:dyDescent="0.25">
      <c r="A11"/>
      <c r="B11"/>
      <c r="C11"/>
      <c r="D11"/>
      <c r="E11"/>
      <c r="F11"/>
      <c r="G11"/>
    </row>
  </sheetData>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21858" r:id="rId3" name="Button 2">
              <controlPr defaultSize="0" print="0" autoFill="0" autoPict="0" macro="[0]!AnalysisMenu">
                <anchor moveWithCells="1">
                  <from>
                    <xdr:col>10</xdr:col>
                    <xdr:colOff>447675</xdr:colOff>
                    <xdr:row>3</xdr:row>
                    <xdr:rowOff>114300</xdr:rowOff>
                  </from>
                  <to>
                    <xdr:col>13</xdr:col>
                    <xdr:colOff>381000</xdr:colOff>
                    <xdr:row>4</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M11"/>
  <sheetViews>
    <sheetView workbookViewId="0">
      <selection sqref="A1:M11"/>
    </sheetView>
  </sheetViews>
  <sheetFormatPr defaultRowHeight="12.75" x14ac:dyDescent="0.2"/>
  <cols>
    <col min="1" max="16384" width="9.140625" style="9"/>
  </cols>
  <sheetData>
    <row r="1" spans="1:13" ht="15" x14ac:dyDescent="0.25">
      <c r="A1" s="190"/>
      <c r="B1" s="190"/>
      <c r="C1" s="190"/>
      <c r="D1" s="190"/>
      <c r="E1" s="190"/>
      <c r="F1" s="190"/>
      <c r="G1" s="190"/>
      <c r="H1" s="190"/>
      <c r="I1" s="190"/>
      <c r="J1" s="190"/>
      <c r="K1" s="190"/>
      <c r="L1" s="190"/>
      <c r="M1" s="190"/>
    </row>
    <row r="2" spans="1:13" ht="15" x14ac:dyDescent="0.25">
      <c r="A2" s="190"/>
      <c r="B2"/>
      <c r="C2"/>
      <c r="D2"/>
      <c r="E2"/>
      <c r="F2"/>
      <c r="G2"/>
      <c r="H2" s="190"/>
      <c r="I2"/>
      <c r="J2"/>
      <c r="K2"/>
      <c r="L2"/>
      <c r="M2"/>
    </row>
    <row r="3" spans="1:13" ht="15" x14ac:dyDescent="0.25">
      <c r="A3" s="190"/>
      <c r="B3" s="190"/>
      <c r="C3" s="190"/>
      <c r="D3" s="190"/>
      <c r="E3"/>
      <c r="F3" s="190"/>
      <c r="G3" s="190"/>
      <c r="H3" s="190"/>
      <c r="I3" s="190"/>
      <c r="J3"/>
      <c r="K3"/>
      <c r="L3"/>
      <c r="M3" s="190"/>
    </row>
    <row r="4" spans="1:13" ht="15" x14ac:dyDescent="0.25">
      <c r="A4"/>
      <c r="B4"/>
      <c r="C4"/>
      <c r="D4"/>
      <c r="E4"/>
      <c r="F4"/>
      <c r="G4"/>
      <c r="H4"/>
      <c r="I4"/>
      <c r="J4"/>
      <c r="K4"/>
      <c r="L4"/>
      <c r="M4"/>
    </row>
    <row r="5" spans="1:13" ht="15" x14ac:dyDescent="0.25">
      <c r="A5"/>
      <c r="B5"/>
      <c r="C5"/>
      <c r="D5"/>
      <c r="E5"/>
      <c r="F5"/>
      <c r="G5"/>
      <c r="H5"/>
      <c r="I5"/>
      <c r="J5"/>
      <c r="K5"/>
      <c r="L5"/>
      <c r="M5"/>
    </row>
    <row r="6" spans="1:13" ht="15" x14ac:dyDescent="0.25">
      <c r="A6"/>
      <c r="B6"/>
      <c r="C6"/>
      <c r="D6"/>
      <c r="E6"/>
      <c r="F6"/>
      <c r="G6"/>
      <c r="H6"/>
      <c r="I6"/>
      <c r="J6"/>
      <c r="K6"/>
      <c r="L6"/>
      <c r="M6"/>
    </row>
    <row r="7" spans="1:13" ht="15" x14ac:dyDescent="0.25">
      <c r="A7"/>
      <c r="B7"/>
      <c r="C7"/>
      <c r="D7"/>
      <c r="E7"/>
      <c r="F7"/>
      <c r="G7"/>
      <c r="H7"/>
      <c r="I7"/>
      <c r="J7"/>
      <c r="K7"/>
      <c r="L7"/>
      <c r="M7"/>
    </row>
    <row r="8" spans="1:13" ht="15" x14ac:dyDescent="0.25">
      <c r="A8"/>
      <c r="B8"/>
      <c r="C8"/>
      <c r="D8"/>
      <c r="E8"/>
      <c r="F8"/>
      <c r="G8"/>
      <c r="H8"/>
      <c r="I8"/>
      <c r="J8"/>
      <c r="K8"/>
      <c r="L8"/>
      <c r="M8"/>
    </row>
    <row r="9" spans="1:13" ht="15" x14ac:dyDescent="0.25">
      <c r="A9"/>
      <c r="B9"/>
      <c r="C9"/>
      <c r="D9"/>
      <c r="E9"/>
      <c r="F9"/>
      <c r="G9"/>
      <c r="H9"/>
      <c r="I9"/>
      <c r="J9"/>
      <c r="K9"/>
      <c r="L9"/>
      <c r="M9"/>
    </row>
    <row r="10" spans="1:13" ht="15" x14ac:dyDescent="0.25">
      <c r="A10"/>
      <c r="B10"/>
      <c r="C10"/>
      <c r="D10"/>
      <c r="E10"/>
      <c r="F10"/>
      <c r="G10"/>
      <c r="H10"/>
      <c r="I10"/>
      <c r="J10"/>
      <c r="K10"/>
      <c r="L10"/>
      <c r="M10"/>
    </row>
    <row r="11" spans="1:13" ht="15" x14ac:dyDescent="0.25">
      <c r="A11"/>
      <c r="B11"/>
      <c r="C11"/>
      <c r="D11"/>
      <c r="E11"/>
      <c r="F11"/>
      <c r="G11"/>
      <c r="H11"/>
      <c r="I11"/>
      <c r="J11"/>
      <c r="K11"/>
      <c r="L11"/>
      <c r="M11"/>
    </row>
  </sheetData>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22881" r:id="rId3" name="Button 1">
              <controlPr defaultSize="0" print="0" autoFill="0" autoPict="0" macro="[0]!AnalysisMenu">
                <anchor moveWithCells="1">
                  <from>
                    <xdr:col>15</xdr:col>
                    <xdr:colOff>447675</xdr:colOff>
                    <xdr:row>2</xdr:row>
                    <xdr:rowOff>114300</xdr:rowOff>
                  </from>
                  <to>
                    <xdr:col>18</xdr:col>
                    <xdr:colOff>381000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AE3"/>
  <sheetViews>
    <sheetView workbookViewId="0">
      <selection sqref="A1:AE2"/>
    </sheetView>
  </sheetViews>
  <sheetFormatPr defaultRowHeight="12.75" x14ac:dyDescent="0.2"/>
  <cols>
    <col min="1" max="16384" width="9.140625" style="9"/>
  </cols>
  <sheetData>
    <row r="1" spans="1:31" ht="15"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row>
    <row r="2" spans="1:31" ht="15" x14ac:dyDescent="0.25">
      <c r="A2" s="190"/>
      <c r="B2" s="190"/>
      <c r="C2" s="190"/>
      <c r="D2" s="190"/>
      <c r="E2" s="190"/>
      <c r="F2" s="190"/>
      <c r="G2" s="190"/>
      <c r="H2"/>
      <c r="I2" s="190"/>
      <c r="J2" s="190"/>
      <c r="K2" s="190"/>
      <c r="L2" s="190"/>
      <c r="M2" s="190"/>
      <c r="N2" s="190"/>
      <c r="O2" s="190"/>
      <c r="P2" s="190"/>
      <c r="Q2" s="190"/>
      <c r="R2" s="190"/>
      <c r="S2"/>
      <c r="T2" s="190"/>
      <c r="U2" s="190"/>
      <c r="V2" s="190"/>
      <c r="W2" s="190"/>
      <c r="X2" s="190"/>
      <c r="Y2" s="190"/>
      <c r="Z2" s="190"/>
      <c r="AA2" s="190"/>
      <c r="AB2" s="190"/>
      <c r="AC2" s="190"/>
      <c r="AD2" s="190"/>
      <c r="AE2" s="190"/>
    </row>
    <row r="3" spans="1:31" x14ac:dyDescent="0.2">
      <c r="A3" s="10" t="s">
        <v>0</v>
      </c>
      <c r="B3" s="10">
        <v>0</v>
      </c>
      <c r="C3" s="10">
        <v>0</v>
      </c>
      <c r="D3" s="10">
        <v>0</v>
      </c>
      <c r="E3" s="10">
        <v>0</v>
      </c>
      <c r="F3" s="10">
        <v>0</v>
      </c>
      <c r="G3" s="10">
        <v>0</v>
      </c>
      <c r="I3" s="10">
        <v>0</v>
      </c>
      <c r="J3" s="10">
        <v>0</v>
      </c>
      <c r="K3" s="10">
        <v>0</v>
      </c>
      <c r="L3" s="10">
        <v>0</v>
      </c>
      <c r="M3" s="10">
        <v>0</v>
      </c>
      <c r="N3" s="10">
        <v>0</v>
      </c>
      <c r="O3" s="10">
        <v>0</v>
      </c>
      <c r="P3" s="10">
        <v>0</v>
      </c>
      <c r="Q3" s="10">
        <v>0</v>
      </c>
      <c r="R3" s="10">
        <v>0</v>
      </c>
      <c r="S3" s="10">
        <v>0</v>
      </c>
      <c r="T3" s="10">
        <v>0</v>
      </c>
      <c r="U3" s="10">
        <v>0</v>
      </c>
      <c r="V3" s="10">
        <v>0</v>
      </c>
      <c r="W3" s="10">
        <v>0</v>
      </c>
      <c r="X3" s="10">
        <v>0</v>
      </c>
      <c r="Y3" s="10">
        <v>0</v>
      </c>
      <c r="Z3" s="10">
        <v>0</v>
      </c>
      <c r="AA3" s="10">
        <v>0</v>
      </c>
      <c r="AB3" s="10">
        <v>0</v>
      </c>
      <c r="AC3" s="10">
        <v>0</v>
      </c>
      <c r="AD3" s="10">
        <v>0</v>
      </c>
      <c r="AE3" s="10">
        <v>0</v>
      </c>
    </row>
  </sheetData>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23906" r:id="rId3" name="Button 2">
              <controlPr defaultSize="0" print="0" autoFill="0" autoPict="0" macro="[0]!AnalysisMenu">
                <anchor moveWithCells="1">
                  <from>
                    <xdr:col>2</xdr:col>
                    <xdr:colOff>447675</xdr:colOff>
                    <xdr:row>9</xdr:row>
                    <xdr:rowOff>114300</xdr:rowOff>
                  </from>
                  <to>
                    <xdr:col>5</xdr:col>
                    <xdr:colOff>381000</xdr:colOff>
                    <xdr:row>11</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E3"/>
  <sheetViews>
    <sheetView workbookViewId="0">
      <selection sqref="A1:E3"/>
    </sheetView>
  </sheetViews>
  <sheetFormatPr defaultRowHeight="12.75" x14ac:dyDescent="0.2"/>
  <cols>
    <col min="1" max="16384" width="9.140625" style="9"/>
  </cols>
  <sheetData>
    <row r="1" spans="1:5" ht="15" x14ac:dyDescent="0.25">
      <c r="A1" s="190"/>
      <c r="B1" s="190"/>
      <c r="C1" s="190"/>
      <c r="D1" s="190"/>
      <c r="E1" s="190"/>
    </row>
    <row r="2" spans="1:5" ht="15" x14ac:dyDescent="0.25">
      <c r="A2" s="190"/>
      <c r="B2"/>
      <c r="C2"/>
      <c r="D2"/>
      <c r="E2"/>
    </row>
    <row r="3" spans="1:5" x14ac:dyDescent="0.2">
      <c r="A3" s="10"/>
    </row>
  </sheetData>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24930" r:id="rId3" name="Button 2">
              <controlPr defaultSize="0" print="0" autoFill="0" autoPict="0" macro="[0]!AnalysisMenu">
                <anchor moveWithCells="1">
                  <from>
                    <xdr:col>1</xdr:col>
                    <xdr:colOff>447675</xdr:colOff>
                    <xdr:row>7</xdr:row>
                    <xdr:rowOff>114300</xdr:rowOff>
                  </from>
                  <to>
                    <xdr:col>4</xdr:col>
                    <xdr:colOff>381000</xdr:colOff>
                    <xdr:row>9</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F3"/>
  <sheetViews>
    <sheetView workbookViewId="0">
      <selection sqref="A1:F3"/>
    </sheetView>
  </sheetViews>
  <sheetFormatPr defaultRowHeight="12.75" x14ac:dyDescent="0.2"/>
  <cols>
    <col min="1" max="16384" width="9.140625" style="9"/>
  </cols>
  <sheetData>
    <row r="1" spans="1:6" ht="15" x14ac:dyDescent="0.25">
      <c r="A1" s="190"/>
      <c r="B1" s="190"/>
      <c r="C1" s="190"/>
      <c r="D1" s="190"/>
      <c r="E1" s="190"/>
      <c r="F1" s="190"/>
    </row>
    <row r="2" spans="1:6" ht="15" x14ac:dyDescent="0.25">
      <c r="A2" s="190"/>
      <c r="B2" s="190"/>
      <c r="C2" s="190"/>
      <c r="D2" s="190"/>
      <c r="E2" s="190"/>
      <c r="F2"/>
    </row>
    <row r="3" spans="1:6" x14ac:dyDescent="0.2">
      <c r="A3" s="10"/>
    </row>
  </sheetData>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25954" r:id="rId3" name="Button 2">
              <controlPr defaultSize="0" print="0" autoFill="0" autoPict="0" macro="[0]!AnalysisMenu">
                <anchor moveWithCells="1">
                  <from>
                    <xdr:col>1</xdr:col>
                    <xdr:colOff>447675</xdr:colOff>
                    <xdr:row>8</xdr:row>
                    <xdr:rowOff>114300</xdr:rowOff>
                  </from>
                  <to>
                    <xdr:col>4</xdr:col>
                    <xdr:colOff>381000</xdr:colOff>
                    <xdr:row>10</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AP3"/>
  <sheetViews>
    <sheetView workbookViewId="0">
      <selection sqref="A1:AP3"/>
    </sheetView>
  </sheetViews>
  <sheetFormatPr defaultRowHeight="12.75" x14ac:dyDescent="0.2"/>
  <cols>
    <col min="1" max="16384" width="9.140625" style="9"/>
  </cols>
  <sheetData>
    <row r="1" spans="1:42" ht="15"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0"/>
      <c r="AL1" s="190"/>
      <c r="AM1" s="190"/>
      <c r="AN1" s="190"/>
      <c r="AO1" s="190"/>
      <c r="AP1" s="190"/>
    </row>
    <row r="2" spans="1:42" ht="15" x14ac:dyDescent="0.25">
      <c r="A2" s="190"/>
      <c r="B2" s="190"/>
      <c r="C2" s="190"/>
      <c r="D2" s="190"/>
      <c r="E2" s="190"/>
      <c r="F2" s="190"/>
      <c r="G2" s="190"/>
      <c r="H2" s="190"/>
      <c r="I2"/>
      <c r="J2" s="190"/>
      <c r="K2" s="190"/>
      <c r="L2" s="190"/>
      <c r="M2" s="190"/>
      <c r="N2" s="190"/>
      <c r="O2" s="190"/>
      <c r="P2"/>
      <c r="Q2" s="190"/>
      <c r="R2" s="190"/>
      <c r="S2"/>
      <c r="T2"/>
      <c r="U2"/>
      <c r="V2" s="190"/>
      <c r="W2" s="190"/>
      <c r="X2"/>
      <c r="Y2" s="190"/>
      <c r="Z2" s="190"/>
      <c r="AA2" s="190"/>
      <c r="AB2" s="190"/>
      <c r="AC2" s="190"/>
      <c r="AD2"/>
      <c r="AE2" s="190"/>
      <c r="AF2" s="190"/>
      <c r="AG2" s="190"/>
      <c r="AH2" s="190"/>
      <c r="AI2" s="190"/>
      <c r="AJ2" s="190"/>
      <c r="AK2" s="190"/>
      <c r="AL2" s="190"/>
      <c r="AM2" s="190"/>
      <c r="AN2"/>
      <c r="AO2"/>
      <c r="AP2"/>
    </row>
    <row r="3" spans="1:42" x14ac:dyDescent="0.2">
      <c r="A3" s="10"/>
      <c r="B3" s="10"/>
      <c r="D3" s="10"/>
      <c r="E3" s="10"/>
      <c r="F3" s="10"/>
      <c r="G3" s="10"/>
      <c r="H3" s="10"/>
      <c r="J3" s="10"/>
      <c r="K3" s="10"/>
      <c r="L3" s="10"/>
      <c r="M3" s="10"/>
      <c r="N3" s="10"/>
      <c r="O3" s="10"/>
      <c r="Q3" s="10"/>
      <c r="R3" s="10"/>
      <c r="V3" s="10"/>
      <c r="W3" s="10"/>
      <c r="Y3" s="10"/>
      <c r="Z3" s="10"/>
      <c r="AA3" s="10"/>
      <c r="AB3" s="10"/>
      <c r="AC3" s="10"/>
      <c r="AE3" s="10"/>
      <c r="AF3" s="10"/>
      <c r="AG3" s="10"/>
      <c r="AH3" s="10"/>
      <c r="AI3" s="10"/>
      <c r="AJ3" s="10"/>
      <c r="AL3" s="10"/>
      <c r="AM3" s="10"/>
    </row>
  </sheetData>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26978" r:id="rId3" name="Button 2">
              <controlPr defaultSize="0" print="0" autoFill="0" autoPict="0" macro="[0]!AnalysisMenu">
                <anchor moveWithCells="1">
                  <from>
                    <xdr:col>1</xdr:col>
                    <xdr:colOff>447675</xdr:colOff>
                    <xdr:row>7</xdr:row>
                    <xdr:rowOff>114300</xdr:rowOff>
                  </from>
                  <to>
                    <xdr:col>4</xdr:col>
                    <xdr:colOff>381000</xdr:colOff>
                    <xdr:row>9</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L21"/>
  <sheetViews>
    <sheetView workbookViewId="0">
      <selection sqref="A1:L21"/>
    </sheetView>
  </sheetViews>
  <sheetFormatPr defaultRowHeight="12.75" x14ac:dyDescent="0.2"/>
  <cols>
    <col min="1" max="16384" width="9.140625" style="9"/>
  </cols>
  <sheetData>
    <row r="1" spans="1:12" ht="15" x14ac:dyDescent="0.25">
      <c r="A1" s="190"/>
      <c r="B1" s="190"/>
      <c r="C1" s="190"/>
      <c r="D1" s="190"/>
      <c r="E1" s="190"/>
      <c r="F1" s="190"/>
      <c r="G1" s="190"/>
      <c r="H1" s="190"/>
      <c r="I1" s="190"/>
      <c r="J1" s="190"/>
      <c r="K1" s="190"/>
      <c r="L1" s="190"/>
    </row>
    <row r="2" spans="1:12" ht="15" x14ac:dyDescent="0.25">
      <c r="A2" s="190"/>
      <c r="B2" s="190"/>
      <c r="C2" s="190"/>
      <c r="D2" s="190"/>
      <c r="E2" s="190"/>
      <c r="F2" s="190"/>
      <c r="G2"/>
      <c r="H2" s="190"/>
      <c r="I2"/>
      <c r="J2"/>
      <c r="K2"/>
      <c r="L2"/>
    </row>
    <row r="3" spans="1:12" ht="15" x14ac:dyDescent="0.25">
      <c r="A3"/>
      <c r="B3"/>
      <c r="C3"/>
      <c r="D3"/>
      <c r="E3"/>
      <c r="F3"/>
      <c r="G3"/>
      <c r="H3"/>
      <c r="I3"/>
      <c r="J3"/>
      <c r="K3"/>
      <c r="L3"/>
    </row>
    <row r="4" spans="1:12" ht="15" x14ac:dyDescent="0.25">
      <c r="A4"/>
      <c r="B4"/>
      <c r="C4"/>
      <c r="D4"/>
      <c r="E4"/>
      <c r="F4"/>
      <c r="G4"/>
      <c r="H4"/>
      <c r="I4"/>
      <c r="J4"/>
      <c r="K4"/>
      <c r="L4"/>
    </row>
    <row r="5" spans="1:12" ht="15" x14ac:dyDescent="0.25">
      <c r="A5"/>
      <c r="B5"/>
      <c r="C5"/>
      <c r="D5"/>
      <c r="E5"/>
      <c r="F5"/>
      <c r="G5"/>
      <c r="H5"/>
      <c r="I5"/>
      <c r="J5"/>
      <c r="K5"/>
      <c r="L5"/>
    </row>
    <row r="6" spans="1:12" ht="15" x14ac:dyDescent="0.25">
      <c r="A6"/>
      <c r="B6"/>
      <c r="C6"/>
      <c r="D6"/>
      <c r="E6"/>
      <c r="F6"/>
      <c r="G6"/>
      <c r="H6"/>
      <c r="I6"/>
      <c r="J6"/>
      <c r="K6"/>
      <c r="L6"/>
    </row>
    <row r="7" spans="1:12" ht="15" x14ac:dyDescent="0.25">
      <c r="A7"/>
      <c r="B7"/>
      <c r="C7"/>
      <c r="D7"/>
      <c r="E7"/>
      <c r="F7"/>
      <c r="G7"/>
      <c r="H7"/>
      <c r="I7"/>
      <c r="J7"/>
      <c r="K7"/>
      <c r="L7"/>
    </row>
    <row r="8" spans="1:12" ht="15" x14ac:dyDescent="0.25">
      <c r="A8"/>
      <c r="B8"/>
      <c r="C8"/>
      <c r="D8"/>
      <c r="E8"/>
      <c r="F8"/>
      <c r="G8"/>
      <c r="H8"/>
      <c r="I8"/>
      <c r="J8"/>
      <c r="K8"/>
      <c r="L8"/>
    </row>
    <row r="9" spans="1:12" ht="15" x14ac:dyDescent="0.25">
      <c r="A9"/>
      <c r="B9"/>
      <c r="C9"/>
      <c r="D9"/>
      <c r="E9"/>
      <c r="F9"/>
      <c r="G9"/>
      <c r="H9"/>
      <c r="I9"/>
      <c r="J9"/>
      <c r="K9"/>
      <c r="L9"/>
    </row>
    <row r="10" spans="1:12" ht="15" x14ac:dyDescent="0.25">
      <c r="A10"/>
      <c r="B10"/>
      <c r="C10"/>
      <c r="D10"/>
      <c r="E10"/>
      <c r="F10"/>
      <c r="G10"/>
      <c r="H10"/>
      <c r="I10"/>
      <c r="J10"/>
      <c r="K10"/>
      <c r="L10"/>
    </row>
    <row r="11" spans="1:12" ht="15" x14ac:dyDescent="0.25">
      <c r="A11"/>
      <c r="B11"/>
      <c r="C11"/>
      <c r="D11"/>
      <c r="E11"/>
      <c r="F11"/>
      <c r="G11"/>
      <c r="H11"/>
      <c r="I11"/>
      <c r="J11"/>
      <c r="K11"/>
      <c r="L11"/>
    </row>
    <row r="12" spans="1:12" ht="15" x14ac:dyDescent="0.25">
      <c r="A12"/>
      <c r="B12"/>
      <c r="C12"/>
      <c r="D12"/>
      <c r="E12"/>
      <c r="F12"/>
      <c r="G12"/>
      <c r="H12"/>
      <c r="I12"/>
      <c r="J12"/>
      <c r="K12"/>
      <c r="L12"/>
    </row>
    <row r="13" spans="1:12" ht="15" x14ac:dyDescent="0.25">
      <c r="A13"/>
      <c r="B13"/>
      <c r="C13"/>
      <c r="D13"/>
      <c r="E13"/>
      <c r="F13"/>
      <c r="G13"/>
      <c r="H13"/>
      <c r="I13"/>
      <c r="J13"/>
      <c r="K13"/>
      <c r="L13"/>
    </row>
    <row r="14" spans="1:12" ht="15" x14ac:dyDescent="0.25">
      <c r="A14"/>
      <c r="B14"/>
      <c r="C14"/>
      <c r="D14"/>
      <c r="E14"/>
      <c r="F14"/>
      <c r="G14"/>
      <c r="H14"/>
      <c r="I14"/>
      <c r="J14"/>
      <c r="K14"/>
      <c r="L14"/>
    </row>
    <row r="15" spans="1:12" ht="15" x14ac:dyDescent="0.25">
      <c r="A15"/>
      <c r="B15"/>
      <c r="C15"/>
      <c r="D15"/>
      <c r="E15"/>
      <c r="F15"/>
      <c r="G15"/>
      <c r="H15"/>
      <c r="I15"/>
      <c r="J15"/>
      <c r="K15"/>
      <c r="L15"/>
    </row>
    <row r="16" spans="1:12" ht="15" x14ac:dyDescent="0.25">
      <c r="A16"/>
      <c r="B16"/>
      <c r="C16"/>
      <c r="D16"/>
      <c r="E16"/>
      <c r="F16"/>
      <c r="G16"/>
      <c r="H16"/>
      <c r="I16"/>
      <c r="J16"/>
      <c r="K16"/>
      <c r="L16"/>
    </row>
    <row r="17" spans="1:12" ht="15" x14ac:dyDescent="0.25">
      <c r="A17"/>
      <c r="B17"/>
      <c r="C17"/>
      <c r="D17"/>
      <c r="E17"/>
      <c r="F17"/>
      <c r="G17"/>
      <c r="H17"/>
      <c r="I17"/>
      <c r="J17"/>
      <c r="K17"/>
      <c r="L17"/>
    </row>
    <row r="18" spans="1:12" ht="15" x14ac:dyDescent="0.25">
      <c r="A18"/>
      <c r="B18"/>
      <c r="C18"/>
      <c r="D18"/>
      <c r="E18"/>
      <c r="F18"/>
      <c r="G18"/>
      <c r="H18"/>
      <c r="I18"/>
      <c r="J18"/>
      <c r="K18"/>
      <c r="L18"/>
    </row>
    <row r="19" spans="1:12" ht="15" x14ac:dyDescent="0.25">
      <c r="A19"/>
      <c r="B19"/>
      <c r="C19"/>
      <c r="D19"/>
      <c r="E19"/>
      <c r="F19"/>
      <c r="G19"/>
      <c r="H19"/>
      <c r="I19"/>
      <c r="J19"/>
      <c r="K19"/>
      <c r="L19"/>
    </row>
    <row r="20" spans="1:12" ht="15" x14ac:dyDescent="0.25">
      <c r="A20"/>
      <c r="B20"/>
      <c r="C20"/>
      <c r="D20"/>
      <c r="E20"/>
      <c r="F20"/>
      <c r="G20"/>
      <c r="H20"/>
      <c r="I20"/>
      <c r="J20"/>
      <c r="K20"/>
      <c r="L20"/>
    </row>
    <row r="21" spans="1:12" ht="15" x14ac:dyDescent="0.25">
      <c r="A21"/>
      <c r="B21"/>
      <c r="C21"/>
      <c r="D21"/>
      <c r="E21"/>
      <c r="F21"/>
      <c r="G21"/>
      <c r="H21"/>
      <c r="I21"/>
      <c r="J21"/>
      <c r="K21"/>
      <c r="L21"/>
    </row>
  </sheetData>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28002" r:id="rId3" name="Button 2">
              <controlPr defaultSize="0" print="0" autoFill="0" autoPict="0" macro="[0]!AnalysisMenu">
                <anchor moveWithCells="1">
                  <from>
                    <xdr:col>14</xdr:col>
                    <xdr:colOff>447675</xdr:colOff>
                    <xdr:row>2</xdr:row>
                    <xdr:rowOff>114300</xdr:rowOff>
                  </from>
                  <to>
                    <xdr:col>17</xdr:col>
                    <xdr:colOff>381000</xdr:colOff>
                    <xdr:row>3</xdr:row>
                    <xdr:rowOff>161925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C11"/>
  <sheetViews>
    <sheetView workbookViewId="0">
      <selection sqref="A1:C11"/>
    </sheetView>
  </sheetViews>
  <sheetFormatPr defaultRowHeight="12.75" x14ac:dyDescent="0.2"/>
  <cols>
    <col min="1" max="16384" width="9.140625" style="9"/>
  </cols>
  <sheetData>
    <row r="1" spans="1:3" ht="15" x14ac:dyDescent="0.25">
      <c r="A1" s="190"/>
      <c r="B1" s="190"/>
      <c r="C1" s="190"/>
    </row>
    <row r="2" spans="1:3" ht="15" x14ac:dyDescent="0.25">
      <c r="A2" s="190"/>
      <c r="B2"/>
      <c r="C2" s="190"/>
    </row>
    <row r="3" spans="1:3" ht="15" x14ac:dyDescent="0.25">
      <c r="A3" s="190"/>
      <c r="B3" s="190"/>
      <c r="C3" s="190"/>
    </row>
    <row r="4" spans="1:3" ht="15" x14ac:dyDescent="0.25">
      <c r="A4" s="190"/>
      <c r="B4" s="190"/>
      <c r="C4" s="190"/>
    </row>
    <row r="5" spans="1:3" ht="15" x14ac:dyDescent="0.25">
      <c r="A5" s="190"/>
      <c r="B5" s="190"/>
      <c r="C5" s="190"/>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sheetData>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29026" r:id="rId3" name="Button 2">
              <controlPr defaultSize="0" print="0" autoFill="0" autoPict="0" macro="[0]!AnalysisMenu">
                <anchor moveWithCells="1">
                  <from>
                    <xdr:col>0</xdr:col>
                    <xdr:colOff>447675</xdr:colOff>
                    <xdr:row>16</xdr:row>
                    <xdr:rowOff>114300</xdr:rowOff>
                  </from>
                  <to>
                    <xdr:col>3</xdr:col>
                    <xdr:colOff>381000</xdr:colOff>
                    <xdr:row>18</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AE3"/>
  <sheetViews>
    <sheetView workbookViewId="0">
      <selection sqref="A1:AE3"/>
    </sheetView>
  </sheetViews>
  <sheetFormatPr defaultRowHeight="12.75" x14ac:dyDescent="0.2"/>
  <cols>
    <col min="1" max="16384" width="9.140625" style="9"/>
  </cols>
  <sheetData>
    <row r="1" spans="1:31" ht="15"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row>
    <row r="2" spans="1:31" ht="15" x14ac:dyDescent="0.25">
      <c r="A2" s="190"/>
      <c r="B2" s="190"/>
      <c r="C2" s="190"/>
      <c r="D2" s="190"/>
      <c r="E2" s="190"/>
      <c r="F2" s="190"/>
      <c r="G2" s="190"/>
      <c r="H2" s="190"/>
      <c r="I2" s="190"/>
      <c r="J2" s="190"/>
      <c r="K2" s="190"/>
      <c r="L2" s="190"/>
      <c r="M2" s="190"/>
      <c r="N2" s="190"/>
      <c r="O2" s="190"/>
      <c r="P2" s="190"/>
      <c r="Q2" s="190"/>
      <c r="R2" s="190"/>
      <c r="S2" s="190"/>
      <c r="T2"/>
      <c r="U2" s="190"/>
      <c r="V2" s="190"/>
      <c r="W2"/>
      <c r="X2" s="190"/>
      <c r="Y2" s="190"/>
      <c r="Z2" s="190"/>
      <c r="AA2" s="190"/>
      <c r="AB2" s="190"/>
      <c r="AC2" s="190"/>
      <c r="AD2" s="190"/>
      <c r="AE2"/>
    </row>
    <row r="3" spans="1:31" x14ac:dyDescent="0.2">
      <c r="A3" s="10"/>
      <c r="E3" s="10"/>
      <c r="F3" s="10"/>
      <c r="G3" s="10"/>
      <c r="H3" s="10"/>
      <c r="I3" s="10"/>
      <c r="J3" s="10"/>
      <c r="K3" s="10"/>
      <c r="L3" s="10"/>
      <c r="M3" s="10"/>
      <c r="N3" s="10"/>
      <c r="O3" s="10"/>
      <c r="P3" s="10"/>
      <c r="Q3" s="10"/>
      <c r="R3" s="10"/>
      <c r="S3" s="10"/>
      <c r="T3" s="10"/>
      <c r="U3" s="10"/>
      <c r="V3" s="10"/>
      <c r="X3" s="10"/>
      <c r="Y3" s="10"/>
      <c r="Z3" s="10"/>
      <c r="AA3" s="10"/>
      <c r="AB3" s="10"/>
      <c r="AC3" s="10"/>
      <c r="AD3" s="10"/>
    </row>
  </sheetData>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0050" r:id="rId3" name="Button 2">
              <controlPr defaultSize="0" print="0" autoFill="0" autoPict="0" macro="[0]!AnalysisMenu">
                <anchor moveWithCells="1">
                  <from>
                    <xdr:col>1</xdr:col>
                    <xdr:colOff>447675</xdr:colOff>
                    <xdr:row>12</xdr:row>
                    <xdr:rowOff>114300</xdr:rowOff>
                  </from>
                  <to>
                    <xdr:col>4</xdr:col>
                    <xdr:colOff>381000</xdr:colOff>
                    <xdr:row>14</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I3"/>
  <sheetViews>
    <sheetView workbookViewId="0">
      <selection sqref="A1:I3"/>
    </sheetView>
  </sheetViews>
  <sheetFormatPr defaultRowHeight="12.75" x14ac:dyDescent="0.2"/>
  <cols>
    <col min="1" max="16384" width="9.140625" style="9"/>
  </cols>
  <sheetData>
    <row r="1" spans="1:9" ht="15" x14ac:dyDescent="0.25">
      <c r="A1" s="190"/>
      <c r="B1" s="190"/>
      <c r="C1" s="190"/>
      <c r="D1" s="190"/>
      <c r="E1" s="190"/>
      <c r="F1" s="190"/>
      <c r="G1" s="190"/>
      <c r="H1" s="190"/>
      <c r="I1" s="190"/>
    </row>
    <row r="2" spans="1:9" ht="15" x14ac:dyDescent="0.25">
      <c r="A2" s="190"/>
      <c r="B2"/>
      <c r="C2"/>
      <c r="D2" s="190"/>
      <c r="E2" s="190"/>
      <c r="F2" s="190"/>
      <c r="G2"/>
      <c r="H2"/>
      <c r="I2" s="190"/>
    </row>
    <row r="3" spans="1:9" x14ac:dyDescent="0.2">
      <c r="A3" s="10"/>
      <c r="D3" s="10"/>
    </row>
  </sheetData>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J3"/>
  <sheetViews>
    <sheetView workbookViewId="0">
      <selection sqref="A1:J3"/>
    </sheetView>
  </sheetViews>
  <sheetFormatPr defaultRowHeight="12.75" x14ac:dyDescent="0.2"/>
  <cols>
    <col min="1" max="16384" width="9.140625" style="9"/>
  </cols>
  <sheetData>
    <row r="1" spans="1:10" ht="15" x14ac:dyDescent="0.25">
      <c r="A1" s="190"/>
      <c r="B1" s="190"/>
      <c r="C1" s="190"/>
      <c r="D1" s="190"/>
      <c r="E1" s="190"/>
      <c r="F1" s="190"/>
      <c r="G1" s="190"/>
      <c r="H1" s="190"/>
      <c r="I1" s="190"/>
      <c r="J1" s="190"/>
    </row>
    <row r="2" spans="1:10" ht="15" x14ac:dyDescent="0.25">
      <c r="A2" s="190"/>
      <c r="B2" s="190"/>
      <c r="C2" s="190"/>
      <c r="D2" s="190"/>
      <c r="E2" s="190"/>
      <c r="F2" s="190"/>
      <c r="G2" s="190"/>
      <c r="H2" s="190"/>
      <c r="I2" s="190"/>
      <c r="J2" s="190"/>
    </row>
    <row r="3" spans="1:10" x14ac:dyDescent="0.2">
      <c r="A3" s="10"/>
      <c r="B3" s="10"/>
      <c r="C3" s="10"/>
      <c r="D3" s="10"/>
      <c r="E3" s="10"/>
      <c r="F3" s="10"/>
      <c r="G3" s="10"/>
      <c r="H3" s="10"/>
      <c r="I3" s="10"/>
      <c r="J3" s="10"/>
    </row>
  </sheetData>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2098" r:id="rId3" name="Button 2">
              <controlPr defaultSize="0" print="0" autoFill="0" autoPict="0" macro="[0]!AnalysisMenu">
                <anchor moveWithCells="1">
                  <from>
                    <xdr:col>0</xdr:col>
                    <xdr:colOff>447675</xdr:colOff>
                    <xdr:row>9</xdr:row>
                    <xdr:rowOff>114300</xdr:rowOff>
                  </from>
                  <to>
                    <xdr:col>3</xdr:col>
                    <xdr:colOff>381000</xdr:colOff>
                    <xdr:row>11</xdr:row>
                    <xdr:rowOff>28575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AI6"/>
  <sheetViews>
    <sheetView workbookViewId="0">
      <selection sqref="A1:AI2"/>
    </sheetView>
  </sheetViews>
  <sheetFormatPr defaultRowHeight="12.75" x14ac:dyDescent="0.2"/>
  <cols>
    <col min="1" max="16384" width="9.140625" style="9"/>
  </cols>
  <sheetData>
    <row r="1" spans="1:35" ht="15"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row>
    <row r="2" spans="1:35" ht="15" x14ac:dyDescent="0.25">
      <c r="A2" s="190"/>
      <c r="B2" s="190"/>
      <c r="C2" s="190"/>
      <c r="D2" s="190"/>
      <c r="E2"/>
      <c r="F2"/>
      <c r="G2" s="190"/>
      <c r="H2" s="190"/>
      <c r="I2" s="190"/>
      <c r="J2" s="190"/>
      <c r="K2" s="190"/>
      <c r="L2"/>
      <c r="M2" s="190"/>
      <c r="N2" s="190"/>
      <c r="O2" s="190"/>
      <c r="P2"/>
      <c r="Q2" s="190"/>
      <c r="R2" s="190"/>
      <c r="S2" s="190"/>
      <c r="T2"/>
      <c r="U2"/>
      <c r="V2"/>
      <c r="W2"/>
      <c r="X2"/>
      <c r="Y2"/>
      <c r="Z2"/>
      <c r="AA2"/>
      <c r="AB2"/>
      <c r="AC2"/>
      <c r="AD2"/>
      <c r="AE2"/>
      <c r="AF2"/>
      <c r="AG2"/>
      <c r="AH2"/>
      <c r="AI2"/>
    </row>
    <row r="5" spans="1:35" ht="15" x14ac:dyDescent="0.25">
      <c r="A5" s="190"/>
      <c r="B5" s="190"/>
      <c r="C5" s="190"/>
      <c r="D5" s="190"/>
      <c r="E5" s="190"/>
      <c r="F5" s="190"/>
      <c r="G5" s="190"/>
      <c r="H5" s="190"/>
      <c r="I5" s="190"/>
      <c r="J5" s="190"/>
      <c r="K5" s="190"/>
      <c r="L5" s="190"/>
      <c r="M5" s="190"/>
      <c r="N5" s="190"/>
      <c r="O5" s="190"/>
      <c r="P5" s="190"/>
      <c r="Q5" s="190"/>
      <c r="R5" s="190"/>
      <c r="S5" s="190"/>
      <c r="T5" s="190"/>
      <c r="U5" s="190"/>
      <c r="V5" s="190"/>
      <c r="W5" s="190"/>
      <c r="X5" s="190"/>
      <c r="Y5" s="190"/>
      <c r="Z5" s="190"/>
      <c r="AA5" s="190"/>
      <c r="AB5" s="190"/>
      <c r="AC5" s="190"/>
      <c r="AD5" s="190"/>
      <c r="AE5" s="190"/>
      <c r="AF5" s="190"/>
      <c r="AG5" s="190"/>
      <c r="AH5" s="190"/>
      <c r="AI5"/>
    </row>
    <row r="6" spans="1:35" ht="15" x14ac:dyDescent="0.25">
      <c r="A6" s="190"/>
      <c r="B6" s="190"/>
      <c r="C6" s="190"/>
      <c r="D6" s="190"/>
      <c r="E6" s="190"/>
      <c r="F6" s="190"/>
      <c r="G6" s="190"/>
      <c r="H6" s="190"/>
      <c r="I6" s="190"/>
      <c r="J6" s="190"/>
      <c r="K6" s="190"/>
      <c r="L6" s="190"/>
      <c r="M6" s="190"/>
      <c r="N6" s="190"/>
      <c r="O6" s="190"/>
      <c r="P6" s="190"/>
      <c r="Q6" s="190"/>
      <c r="R6" s="190"/>
      <c r="S6" s="190"/>
      <c r="T6" s="190"/>
      <c r="U6" s="190"/>
      <c r="V6" s="190"/>
      <c r="W6" s="190"/>
      <c r="X6" s="190"/>
      <c r="Y6" s="190"/>
      <c r="Z6" s="190"/>
      <c r="AA6" s="190"/>
      <c r="AB6" s="190"/>
      <c r="AC6" s="190"/>
      <c r="AD6" s="190"/>
      <c r="AE6" s="190"/>
      <c r="AF6" s="190"/>
      <c r="AG6" s="190"/>
      <c r="AH6" s="190"/>
      <c r="AI6"/>
    </row>
  </sheetData>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22" r:id="rId3" name="Button 2">
              <controlPr defaultSize="0" print="0" autoFill="0" autoPict="0" macro="[0]!AnalysisMenu">
                <anchor moveWithCells="1">
                  <from>
                    <xdr:col>0</xdr:col>
                    <xdr:colOff>447675</xdr:colOff>
                    <xdr:row>8</xdr:row>
                    <xdr:rowOff>114300</xdr:rowOff>
                  </from>
                  <to>
                    <xdr:col>3</xdr:col>
                    <xdr:colOff>381000</xdr:colOff>
                    <xdr:row>10</xdr:row>
                    <xdr:rowOff>28575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dimension ref="A1:C11"/>
  <sheetViews>
    <sheetView workbookViewId="0">
      <selection sqref="A1:C11"/>
    </sheetView>
  </sheetViews>
  <sheetFormatPr defaultRowHeight="12.75" x14ac:dyDescent="0.2"/>
  <cols>
    <col min="1" max="16384" width="9.140625" style="9"/>
  </cols>
  <sheetData>
    <row r="1" spans="1:3" ht="15" x14ac:dyDescent="0.25">
      <c r="A1" s="190"/>
      <c r="B1" s="190"/>
      <c r="C1" s="190"/>
    </row>
    <row r="2" spans="1:3" ht="15" x14ac:dyDescent="0.25">
      <c r="A2" s="190"/>
      <c r="B2"/>
      <c r="C2" s="190"/>
    </row>
    <row r="3" spans="1:3" ht="15" x14ac:dyDescent="0.25">
      <c r="A3" s="190"/>
      <c r="B3" s="190"/>
      <c r="C3" s="190"/>
    </row>
    <row r="4" spans="1:3" ht="15" x14ac:dyDescent="0.25">
      <c r="A4"/>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sheetData>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4146" r:id="rId3" name="Button 2">
              <controlPr defaultSize="0" print="0" autoFill="0" autoPict="0" macro="[0]!AnalysisMenu">
                <anchor moveWithCells="1">
                  <from>
                    <xdr:col>6</xdr:col>
                    <xdr:colOff>447675</xdr:colOff>
                    <xdr:row>4</xdr:row>
                    <xdr:rowOff>0</xdr:rowOff>
                  </from>
                  <to>
                    <xdr:col>9</xdr:col>
                    <xdr:colOff>381000</xdr:colOff>
                    <xdr:row>5</xdr:row>
                    <xdr:rowOff>47625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3:G26"/>
  <sheetViews>
    <sheetView topLeftCell="B20" zoomScale="111" workbookViewId="0">
      <selection activeCell="G8" sqref="G8"/>
    </sheetView>
  </sheetViews>
  <sheetFormatPr defaultRowHeight="15" x14ac:dyDescent="0.25"/>
  <cols>
    <col min="1" max="1" width="25.28515625" customWidth="1"/>
    <col min="2" max="2" width="19.5703125" customWidth="1"/>
    <col min="5" max="5" width="19" customWidth="1"/>
    <col min="7" max="7" width="20" customWidth="1"/>
  </cols>
  <sheetData>
    <row r="3" spans="1:7" x14ac:dyDescent="0.25">
      <c r="E3" s="3" t="s">
        <v>201</v>
      </c>
      <c r="F3" s="3"/>
      <c r="G3" s="189" t="s">
        <v>865</v>
      </c>
    </row>
    <row r="4" spans="1:7" ht="30" customHeight="1" x14ac:dyDescent="0.25">
      <c r="A4" s="1" t="s">
        <v>211</v>
      </c>
      <c r="E4" s="3"/>
      <c r="F4" s="3"/>
    </row>
    <row r="5" spans="1:7" ht="30" customHeight="1" x14ac:dyDescent="0.25">
      <c r="A5" s="1" t="s">
        <v>186</v>
      </c>
    </row>
    <row r="6" spans="1:7" ht="30" customHeight="1" x14ac:dyDescent="0.25">
      <c r="A6" s="1" t="s">
        <v>199</v>
      </c>
    </row>
    <row r="7" spans="1:7" ht="30" customHeight="1" x14ac:dyDescent="0.25">
      <c r="A7" s="1" t="s">
        <v>226</v>
      </c>
    </row>
    <row r="8" spans="1:7" ht="30" customHeight="1" x14ac:dyDescent="0.25">
      <c r="A8" s="1" t="s">
        <v>187</v>
      </c>
    </row>
    <row r="9" spans="1:7" ht="30" customHeight="1" x14ac:dyDescent="0.25">
      <c r="A9" s="1" t="s">
        <v>213</v>
      </c>
    </row>
    <row r="10" spans="1:7" ht="30" customHeight="1" x14ac:dyDescent="0.25">
      <c r="A10" s="1" t="s">
        <v>216</v>
      </c>
    </row>
    <row r="11" spans="1:7" ht="30" customHeight="1" x14ac:dyDescent="0.25">
      <c r="A11" s="1" t="s">
        <v>212</v>
      </c>
    </row>
    <row r="12" spans="1:7" ht="30" customHeight="1" x14ac:dyDescent="0.25">
      <c r="A12" s="1" t="s">
        <v>214</v>
      </c>
    </row>
    <row r="13" spans="1:7" ht="30" customHeight="1" x14ac:dyDescent="0.25">
      <c r="A13" s="1" t="s">
        <v>188</v>
      </c>
    </row>
    <row r="14" spans="1:7" ht="30" customHeight="1" x14ac:dyDescent="0.25">
      <c r="A14" s="1" t="s">
        <v>189</v>
      </c>
    </row>
    <row r="15" spans="1:7" ht="30" customHeight="1" x14ac:dyDescent="0.25">
      <c r="A15" s="1" t="s">
        <v>190</v>
      </c>
    </row>
    <row r="16" spans="1:7" ht="30" customHeight="1" x14ac:dyDescent="0.25">
      <c r="A16" s="1" t="s">
        <v>191</v>
      </c>
    </row>
    <row r="17" spans="1:1" ht="30" customHeight="1" x14ac:dyDescent="0.25">
      <c r="A17" s="1" t="s">
        <v>192</v>
      </c>
    </row>
    <row r="18" spans="1:1" ht="30" customHeight="1" x14ac:dyDescent="0.25">
      <c r="A18" s="1" t="s">
        <v>193</v>
      </c>
    </row>
    <row r="19" spans="1:1" ht="30" customHeight="1" x14ac:dyDescent="0.25">
      <c r="A19" s="1" t="s">
        <v>194</v>
      </c>
    </row>
    <row r="20" spans="1:1" ht="30" customHeight="1" x14ac:dyDescent="0.25">
      <c r="A20" s="1" t="s">
        <v>227</v>
      </c>
    </row>
    <row r="21" spans="1:1" ht="30" customHeight="1" x14ac:dyDescent="0.25">
      <c r="A21" s="1" t="s">
        <v>215</v>
      </c>
    </row>
    <row r="22" spans="1:1" ht="30" customHeight="1" x14ac:dyDescent="0.25">
      <c r="A22" s="1" t="s">
        <v>195</v>
      </c>
    </row>
    <row r="23" spans="1:1" ht="30" customHeight="1" x14ac:dyDescent="0.25">
      <c r="A23" s="1" t="s">
        <v>196</v>
      </c>
    </row>
    <row r="24" spans="1:1" ht="30" customHeight="1" x14ac:dyDescent="0.25">
      <c r="A24" s="1" t="s">
        <v>197</v>
      </c>
    </row>
    <row r="25" spans="1:1" ht="30" customHeight="1" x14ac:dyDescent="0.25">
      <c r="A25" s="1" t="s">
        <v>198</v>
      </c>
    </row>
    <row r="26" spans="1:1" ht="30" customHeight="1" x14ac:dyDescent="0.25">
      <c r="A26" s="1" t="s">
        <v>200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lerts">
                <anchor moveWithCells="1">
                  <from>
                    <xdr:col>1</xdr:col>
                    <xdr:colOff>19050</xdr:colOff>
                    <xdr:row>4</xdr:row>
                    <xdr:rowOff>171450</xdr:rowOff>
                  </from>
                  <to>
                    <xdr:col>1</xdr:col>
                    <xdr:colOff>1200150</xdr:colOff>
                    <xdr:row>4</xdr:row>
                    <xdr:rowOff>371475</xdr:rowOff>
                  </to>
                </anchor>
              </controlPr>
            </control>
          </mc:Choice>
        </mc:AlternateContent>
        <mc:AlternateContent xmlns:mc="http://schemas.openxmlformats.org/markup-compatibility/2006">
          <mc:Choice Requires="x14">
            <control shapeId="1028" r:id="rId5" name="Button 4">
              <controlPr defaultSize="0" print="0" autoFill="0" autoPict="0" macro="[0]!Arrears">
                <anchor moveWithCells="1">
                  <from>
                    <xdr:col>1</xdr:col>
                    <xdr:colOff>19050</xdr:colOff>
                    <xdr:row>7</xdr:row>
                    <xdr:rowOff>171450</xdr:rowOff>
                  </from>
                  <to>
                    <xdr:col>1</xdr:col>
                    <xdr:colOff>1200150</xdr:colOff>
                    <xdr:row>7</xdr:row>
                    <xdr:rowOff>371475</xdr:rowOff>
                  </to>
                </anchor>
              </controlPr>
            </control>
          </mc:Choice>
        </mc:AlternateContent>
        <mc:AlternateContent xmlns:mc="http://schemas.openxmlformats.org/markup-compatibility/2006">
          <mc:Choice Requires="x14">
            <control shapeId="1030" r:id="rId6" name="Button 6">
              <controlPr defaultSize="0" print="0" autoFill="0" autoPict="0" macro="[0]!BackTaxes">
                <anchor moveWithCells="1">
                  <from>
                    <xdr:col>1</xdr:col>
                    <xdr:colOff>19050</xdr:colOff>
                    <xdr:row>8</xdr:row>
                    <xdr:rowOff>171450</xdr:rowOff>
                  </from>
                  <to>
                    <xdr:col>1</xdr:col>
                    <xdr:colOff>1200150</xdr:colOff>
                    <xdr:row>8</xdr:row>
                    <xdr:rowOff>371475</xdr:rowOff>
                  </to>
                </anchor>
              </controlPr>
            </control>
          </mc:Choice>
        </mc:AlternateContent>
        <mc:AlternateContent xmlns:mc="http://schemas.openxmlformats.org/markup-compatibility/2006">
          <mc:Choice Requires="x14">
            <control shapeId="1032" r:id="rId7" name="Button 8">
              <controlPr defaultSize="0" print="0" autoFill="0" autoPict="0" macro="[0]!Income">
                <anchor moveWithCells="1">
                  <from>
                    <xdr:col>1</xdr:col>
                    <xdr:colOff>19050</xdr:colOff>
                    <xdr:row>12</xdr:row>
                    <xdr:rowOff>171450</xdr:rowOff>
                  </from>
                  <to>
                    <xdr:col>1</xdr:col>
                    <xdr:colOff>1200150</xdr:colOff>
                    <xdr:row>12</xdr:row>
                    <xdr:rowOff>371475</xdr:rowOff>
                  </to>
                </anchor>
              </controlPr>
            </control>
          </mc:Choice>
        </mc:AlternateContent>
        <mc:AlternateContent xmlns:mc="http://schemas.openxmlformats.org/markup-compatibility/2006">
          <mc:Choice Requires="x14">
            <control shapeId="1034" r:id="rId8" name="Button 10">
              <controlPr defaultSize="0" print="0" autoFill="0" autoPict="0" macro="[0]!Expenses">
                <anchor moveWithCells="1">
                  <from>
                    <xdr:col>1</xdr:col>
                    <xdr:colOff>19050</xdr:colOff>
                    <xdr:row>13</xdr:row>
                    <xdr:rowOff>171450</xdr:rowOff>
                  </from>
                  <to>
                    <xdr:col>1</xdr:col>
                    <xdr:colOff>1200150</xdr:colOff>
                    <xdr:row>13</xdr:row>
                    <xdr:rowOff>371475</xdr:rowOff>
                  </to>
                </anchor>
              </controlPr>
            </control>
          </mc:Choice>
        </mc:AlternateContent>
        <mc:AlternateContent xmlns:mc="http://schemas.openxmlformats.org/markup-compatibility/2006">
          <mc:Choice Requires="x14">
            <control shapeId="1036" r:id="rId9" name="Button 12">
              <controlPr defaultSize="0" print="0" autoFill="0" autoPict="0" macro="[0]!Marketing">
                <anchor moveWithCells="1">
                  <from>
                    <xdr:col>1</xdr:col>
                    <xdr:colOff>19050</xdr:colOff>
                    <xdr:row>14</xdr:row>
                    <xdr:rowOff>171450</xdr:rowOff>
                  </from>
                  <to>
                    <xdr:col>1</xdr:col>
                    <xdr:colOff>1200150</xdr:colOff>
                    <xdr:row>14</xdr:row>
                    <xdr:rowOff>371475</xdr:rowOff>
                  </to>
                </anchor>
              </controlPr>
            </control>
          </mc:Choice>
        </mc:AlternateContent>
        <mc:AlternateContent xmlns:mc="http://schemas.openxmlformats.org/markup-compatibility/2006">
          <mc:Choice Requires="x14">
            <control shapeId="1038" r:id="rId10" name="Button 14">
              <controlPr defaultSize="0" print="0" autoFill="0" autoPict="0" macro="[0]!NonDischarge">
                <anchor moveWithCells="1">
                  <from>
                    <xdr:col>1</xdr:col>
                    <xdr:colOff>19050</xdr:colOff>
                    <xdr:row>15</xdr:row>
                    <xdr:rowOff>171450</xdr:rowOff>
                  </from>
                  <to>
                    <xdr:col>1</xdr:col>
                    <xdr:colOff>1200150</xdr:colOff>
                    <xdr:row>15</xdr:row>
                    <xdr:rowOff>371475</xdr:rowOff>
                  </to>
                </anchor>
              </controlPr>
            </control>
          </mc:Choice>
        </mc:AlternateContent>
        <mc:AlternateContent xmlns:mc="http://schemas.openxmlformats.org/markup-compatibility/2006">
          <mc:Choice Requires="x14">
            <control shapeId="1040" r:id="rId11" name="Button 16">
              <controlPr defaultSize="0" print="0" autoFill="0" autoPict="0" macro="[0]!Unsecured">
                <anchor moveWithCells="1">
                  <from>
                    <xdr:col>1</xdr:col>
                    <xdr:colOff>19050</xdr:colOff>
                    <xdr:row>16</xdr:row>
                    <xdr:rowOff>171450</xdr:rowOff>
                  </from>
                  <to>
                    <xdr:col>1</xdr:col>
                    <xdr:colOff>1200150</xdr:colOff>
                    <xdr:row>16</xdr:row>
                    <xdr:rowOff>371475</xdr:rowOff>
                  </to>
                </anchor>
              </controlPr>
            </control>
          </mc:Choice>
        </mc:AlternateContent>
        <mc:AlternateContent xmlns:mc="http://schemas.openxmlformats.org/markup-compatibility/2006">
          <mc:Choice Requires="x14">
            <control shapeId="1042" r:id="rId12" name="Button 18">
              <controlPr defaultSize="0" print="0" autoFill="0" autoPict="0" macro="[0]!Vehicles">
                <anchor moveWithCells="1">
                  <from>
                    <xdr:col>1</xdr:col>
                    <xdr:colOff>19050</xdr:colOff>
                    <xdr:row>17</xdr:row>
                    <xdr:rowOff>171450</xdr:rowOff>
                  </from>
                  <to>
                    <xdr:col>1</xdr:col>
                    <xdr:colOff>1200150</xdr:colOff>
                    <xdr:row>17</xdr:row>
                    <xdr:rowOff>371475</xdr:rowOff>
                  </to>
                </anchor>
              </controlPr>
            </control>
          </mc:Choice>
        </mc:AlternateContent>
        <mc:AlternateContent xmlns:mc="http://schemas.openxmlformats.org/markup-compatibility/2006">
          <mc:Choice Requires="x14">
            <control shapeId="1044" r:id="rId13" name="Button 20">
              <controlPr defaultSize="0" print="0" autoFill="0" autoPict="0" macro="[0]!RealProperty">
                <anchor moveWithCells="1">
                  <from>
                    <xdr:col>1</xdr:col>
                    <xdr:colOff>19050</xdr:colOff>
                    <xdr:row>18</xdr:row>
                    <xdr:rowOff>171450</xdr:rowOff>
                  </from>
                  <to>
                    <xdr:col>1</xdr:col>
                    <xdr:colOff>1200150</xdr:colOff>
                    <xdr:row>18</xdr:row>
                    <xdr:rowOff>371475</xdr:rowOff>
                  </to>
                </anchor>
              </controlPr>
            </control>
          </mc:Choice>
        </mc:AlternateContent>
        <mc:AlternateContent xmlns:mc="http://schemas.openxmlformats.org/markup-compatibility/2006">
          <mc:Choice Requires="x14">
            <control shapeId="1046" r:id="rId14" name="Button 22">
              <controlPr defaultSize="0" print="0" autoFill="0" autoPict="0" macro="[0]!Equity">
                <anchor moveWithCells="1">
                  <from>
                    <xdr:col>1</xdr:col>
                    <xdr:colOff>19050</xdr:colOff>
                    <xdr:row>21</xdr:row>
                    <xdr:rowOff>171450</xdr:rowOff>
                  </from>
                  <to>
                    <xdr:col>1</xdr:col>
                    <xdr:colOff>1200150</xdr:colOff>
                    <xdr:row>21</xdr:row>
                    <xdr:rowOff>371475</xdr:rowOff>
                  </to>
                </anchor>
              </controlPr>
            </control>
          </mc:Choice>
        </mc:AlternateContent>
        <mc:AlternateContent xmlns:mc="http://schemas.openxmlformats.org/markup-compatibility/2006">
          <mc:Choice Requires="x14">
            <control shapeId="1048" r:id="rId15" name="Button 24">
              <controlPr defaultSize="0" print="0" autoFill="0" autoPict="0" macro="[0]!ThirteenAnalysis">
                <anchor moveWithCells="1">
                  <from>
                    <xdr:col>1</xdr:col>
                    <xdr:colOff>19050</xdr:colOff>
                    <xdr:row>22</xdr:row>
                    <xdr:rowOff>171450</xdr:rowOff>
                  </from>
                  <to>
                    <xdr:col>1</xdr:col>
                    <xdr:colOff>1200150</xdr:colOff>
                    <xdr:row>22</xdr:row>
                    <xdr:rowOff>371475</xdr:rowOff>
                  </to>
                </anchor>
              </controlPr>
            </control>
          </mc:Choice>
        </mc:AlternateContent>
        <mc:AlternateContent xmlns:mc="http://schemas.openxmlformats.org/markup-compatibility/2006">
          <mc:Choice Requires="x14">
            <control shapeId="1050" r:id="rId16" name="Button 26">
              <controlPr defaultSize="0" print="0" autoFill="0" autoPict="0" macro="[0]!MeansTest">
                <anchor moveWithCells="1">
                  <from>
                    <xdr:col>1</xdr:col>
                    <xdr:colOff>19050</xdr:colOff>
                    <xdr:row>23</xdr:row>
                    <xdr:rowOff>171450</xdr:rowOff>
                  </from>
                  <to>
                    <xdr:col>1</xdr:col>
                    <xdr:colOff>1200150</xdr:colOff>
                    <xdr:row>23</xdr:row>
                    <xdr:rowOff>371475</xdr:rowOff>
                  </to>
                </anchor>
              </controlPr>
            </control>
          </mc:Choice>
        </mc:AlternateContent>
        <mc:AlternateContent xmlns:mc="http://schemas.openxmlformats.org/markup-compatibility/2006">
          <mc:Choice Requires="x14">
            <control shapeId="1052" r:id="rId17" name="Button 28">
              <controlPr defaultSize="0" print="0" autoFill="0" autoPict="0" macro="[0]!Accounting">
                <anchor moveWithCells="1">
                  <from>
                    <xdr:col>1</xdr:col>
                    <xdr:colOff>19050</xdr:colOff>
                    <xdr:row>24</xdr:row>
                    <xdr:rowOff>171450</xdr:rowOff>
                  </from>
                  <to>
                    <xdr:col>1</xdr:col>
                    <xdr:colOff>1200150</xdr:colOff>
                    <xdr:row>24</xdr:row>
                    <xdr:rowOff>371475</xdr:rowOff>
                  </to>
                </anchor>
              </controlPr>
            </control>
          </mc:Choice>
        </mc:AlternateContent>
        <mc:AlternateContent xmlns:mc="http://schemas.openxmlformats.org/markup-compatibility/2006">
          <mc:Choice Requires="x14">
            <control shapeId="1054" r:id="rId18" name="Button 30">
              <controlPr defaultSize="0" print="0" autoFill="0" autoPict="0" macro="[0]!JohnsInput">
                <anchor moveWithCells="1">
                  <from>
                    <xdr:col>1</xdr:col>
                    <xdr:colOff>19050</xdr:colOff>
                    <xdr:row>5</xdr:row>
                    <xdr:rowOff>171450</xdr:rowOff>
                  </from>
                  <to>
                    <xdr:col>1</xdr:col>
                    <xdr:colOff>1200150</xdr:colOff>
                    <xdr:row>5</xdr:row>
                    <xdr:rowOff>371475</xdr:rowOff>
                  </to>
                </anchor>
              </controlPr>
            </control>
          </mc:Choice>
        </mc:AlternateContent>
        <mc:AlternateContent xmlns:mc="http://schemas.openxmlformats.org/markup-compatibility/2006">
          <mc:Choice Requires="x14">
            <control shapeId="1056" r:id="rId19" name="Button 32">
              <controlPr defaultSize="0" print="0" autoFill="0" autoPict="0" macro="[0]!Tables">
                <anchor moveWithCells="1">
                  <from>
                    <xdr:col>1</xdr:col>
                    <xdr:colOff>19050</xdr:colOff>
                    <xdr:row>25</xdr:row>
                    <xdr:rowOff>171450</xdr:rowOff>
                  </from>
                  <to>
                    <xdr:col>1</xdr:col>
                    <xdr:colOff>1200150</xdr:colOff>
                    <xdr:row>25</xdr:row>
                    <xdr:rowOff>371475</xdr:rowOff>
                  </to>
                </anchor>
              </controlPr>
            </control>
          </mc:Choice>
        </mc:AlternateContent>
        <mc:AlternateContent xmlns:mc="http://schemas.openxmlformats.org/markup-compatibility/2006">
          <mc:Choice Requires="x14">
            <control shapeId="1058" r:id="rId20" name="Button 34">
              <controlPr defaultSize="0" print="0" autoFill="0" autoPict="0" macro="[0]!Module1.BankAccountsOutput">
                <anchor moveWithCells="1">
                  <from>
                    <xdr:col>4</xdr:col>
                    <xdr:colOff>19050</xdr:colOff>
                    <xdr:row>4</xdr:row>
                    <xdr:rowOff>171450</xdr:rowOff>
                  </from>
                  <to>
                    <xdr:col>4</xdr:col>
                    <xdr:colOff>1200150</xdr:colOff>
                    <xdr:row>4</xdr:row>
                    <xdr:rowOff>371475</xdr:rowOff>
                  </to>
                </anchor>
              </controlPr>
            </control>
          </mc:Choice>
        </mc:AlternateContent>
        <mc:AlternateContent xmlns:mc="http://schemas.openxmlformats.org/markup-compatibility/2006">
          <mc:Choice Requires="x14">
            <control shapeId="1059" r:id="rId21" name="Button 35">
              <controlPr defaultSize="0" print="0" autoFill="0" autoPict="0" macro="[0]!Module1.BasicOutput">
                <anchor moveWithCells="1">
                  <from>
                    <xdr:col>4</xdr:col>
                    <xdr:colOff>19050</xdr:colOff>
                    <xdr:row>5</xdr:row>
                    <xdr:rowOff>171450</xdr:rowOff>
                  </from>
                  <to>
                    <xdr:col>4</xdr:col>
                    <xdr:colOff>1200150</xdr:colOff>
                    <xdr:row>5</xdr:row>
                    <xdr:rowOff>371475</xdr:rowOff>
                  </to>
                </anchor>
              </controlPr>
            </control>
          </mc:Choice>
        </mc:AlternateContent>
        <mc:AlternateContent xmlns:mc="http://schemas.openxmlformats.org/markup-compatibility/2006">
          <mc:Choice Requires="x14">
            <control shapeId="1060" r:id="rId22" name="Button 36">
              <controlPr defaultSize="0" print="0" autoFill="0" autoPict="0" macro="[0]!Module1.DebtSummaryOutput">
                <anchor moveWithCells="1">
                  <from>
                    <xdr:col>4</xdr:col>
                    <xdr:colOff>19050</xdr:colOff>
                    <xdr:row>6</xdr:row>
                    <xdr:rowOff>171450</xdr:rowOff>
                  </from>
                  <to>
                    <xdr:col>4</xdr:col>
                    <xdr:colOff>1200150</xdr:colOff>
                    <xdr:row>6</xdr:row>
                    <xdr:rowOff>371475</xdr:rowOff>
                  </to>
                </anchor>
              </controlPr>
            </control>
          </mc:Choice>
        </mc:AlternateContent>
        <mc:AlternateContent xmlns:mc="http://schemas.openxmlformats.org/markup-compatibility/2006">
          <mc:Choice Requires="x14">
            <control shapeId="1061" r:id="rId23" name="Button 37">
              <controlPr defaultSize="0" print="0" autoFill="0" autoPict="0" macro="[0]!Module1.ExpensesOutput">
                <anchor moveWithCells="1">
                  <from>
                    <xdr:col>4</xdr:col>
                    <xdr:colOff>19050</xdr:colOff>
                    <xdr:row>7</xdr:row>
                    <xdr:rowOff>171450</xdr:rowOff>
                  </from>
                  <to>
                    <xdr:col>4</xdr:col>
                    <xdr:colOff>1200150</xdr:colOff>
                    <xdr:row>7</xdr:row>
                    <xdr:rowOff>371475</xdr:rowOff>
                  </to>
                </anchor>
              </controlPr>
            </control>
          </mc:Choice>
        </mc:AlternateContent>
        <mc:AlternateContent xmlns:mc="http://schemas.openxmlformats.org/markup-compatibility/2006">
          <mc:Choice Requires="x14">
            <control shapeId="1062" r:id="rId24" name="Button 38">
              <controlPr defaultSize="0" print="0" autoFill="0" autoPict="0" macro="[0]!Module1.HouseholdGoodsOutputs">
                <anchor moveWithCells="1">
                  <from>
                    <xdr:col>4</xdr:col>
                    <xdr:colOff>19050</xdr:colOff>
                    <xdr:row>8</xdr:row>
                    <xdr:rowOff>171450</xdr:rowOff>
                  </from>
                  <to>
                    <xdr:col>4</xdr:col>
                    <xdr:colOff>1200150</xdr:colOff>
                    <xdr:row>8</xdr:row>
                    <xdr:rowOff>371475</xdr:rowOff>
                  </to>
                </anchor>
              </controlPr>
            </control>
          </mc:Choice>
        </mc:AlternateContent>
        <mc:AlternateContent xmlns:mc="http://schemas.openxmlformats.org/markup-compatibility/2006">
          <mc:Choice Requires="x14">
            <control shapeId="1063" r:id="rId25" name="Button 39">
              <controlPr defaultSize="0" print="0" autoFill="0" autoPict="0" macro="[0]!Module1.HousePmtsOutput">
                <anchor moveWithCells="1">
                  <from>
                    <xdr:col>4</xdr:col>
                    <xdr:colOff>19050</xdr:colOff>
                    <xdr:row>9</xdr:row>
                    <xdr:rowOff>171450</xdr:rowOff>
                  </from>
                  <to>
                    <xdr:col>4</xdr:col>
                    <xdr:colOff>1200150</xdr:colOff>
                    <xdr:row>9</xdr:row>
                    <xdr:rowOff>371475</xdr:rowOff>
                  </to>
                </anchor>
              </controlPr>
            </control>
          </mc:Choice>
        </mc:AlternateContent>
        <mc:AlternateContent xmlns:mc="http://schemas.openxmlformats.org/markup-compatibility/2006">
          <mc:Choice Requires="x14">
            <control shapeId="1064" r:id="rId26" name="Button 40">
              <controlPr defaultSize="0" print="0" autoFill="0" autoPict="0" macro="[0]!Module1.IncomeOutputs">
                <anchor moveWithCells="1">
                  <from>
                    <xdr:col>4</xdr:col>
                    <xdr:colOff>19050</xdr:colOff>
                    <xdr:row>10</xdr:row>
                    <xdr:rowOff>171450</xdr:rowOff>
                  </from>
                  <to>
                    <xdr:col>4</xdr:col>
                    <xdr:colOff>1200150</xdr:colOff>
                    <xdr:row>10</xdr:row>
                    <xdr:rowOff>371475</xdr:rowOff>
                  </to>
                </anchor>
              </controlPr>
            </control>
          </mc:Choice>
        </mc:AlternateContent>
        <mc:AlternateContent xmlns:mc="http://schemas.openxmlformats.org/markup-compatibility/2006">
          <mc:Choice Requires="x14">
            <control shapeId="1065" r:id="rId27" name="Button 41">
              <controlPr defaultSize="0" print="0" autoFill="0" autoPict="0" macro="[0]!Module1.MarketingOutputs">
                <anchor moveWithCells="1">
                  <from>
                    <xdr:col>4</xdr:col>
                    <xdr:colOff>19050</xdr:colOff>
                    <xdr:row>11</xdr:row>
                    <xdr:rowOff>171450</xdr:rowOff>
                  </from>
                  <to>
                    <xdr:col>4</xdr:col>
                    <xdr:colOff>1200150</xdr:colOff>
                    <xdr:row>11</xdr:row>
                    <xdr:rowOff>371475</xdr:rowOff>
                  </to>
                </anchor>
              </controlPr>
            </control>
          </mc:Choice>
        </mc:AlternateContent>
        <mc:AlternateContent xmlns:mc="http://schemas.openxmlformats.org/markup-compatibility/2006">
          <mc:Choice Requires="x14">
            <control shapeId="1066" r:id="rId28" name="Button 42">
              <controlPr defaultSize="0" print="0" autoFill="0" autoPict="0" macro="[0]!Module1.MiscOutput">
                <anchor moveWithCells="1">
                  <from>
                    <xdr:col>4</xdr:col>
                    <xdr:colOff>19050</xdr:colOff>
                    <xdr:row>12</xdr:row>
                    <xdr:rowOff>171450</xdr:rowOff>
                  </from>
                  <to>
                    <xdr:col>4</xdr:col>
                    <xdr:colOff>1200150</xdr:colOff>
                    <xdr:row>12</xdr:row>
                    <xdr:rowOff>371475</xdr:rowOff>
                  </to>
                </anchor>
              </controlPr>
            </control>
          </mc:Choice>
        </mc:AlternateContent>
        <mc:AlternateContent xmlns:mc="http://schemas.openxmlformats.org/markup-compatibility/2006">
          <mc:Choice Requires="x14">
            <control shapeId="1067" r:id="rId29" name="Button 43">
              <controlPr defaultSize="0" print="0" autoFill="0" autoPict="0" macro="[0]!Module1.PersonalPropertyOutputs">
                <anchor moveWithCells="1">
                  <from>
                    <xdr:col>4</xdr:col>
                    <xdr:colOff>19050</xdr:colOff>
                    <xdr:row>13</xdr:row>
                    <xdr:rowOff>171450</xdr:rowOff>
                  </from>
                  <to>
                    <xdr:col>4</xdr:col>
                    <xdr:colOff>1200150</xdr:colOff>
                    <xdr:row>13</xdr:row>
                    <xdr:rowOff>371475</xdr:rowOff>
                  </to>
                </anchor>
              </controlPr>
            </control>
          </mc:Choice>
        </mc:AlternateContent>
        <mc:AlternateContent xmlns:mc="http://schemas.openxmlformats.org/markup-compatibility/2006">
          <mc:Choice Requires="x14">
            <control shapeId="1068" r:id="rId30" name="Button 44">
              <controlPr defaultSize="0" print="0" autoFill="0" autoPict="0" macro="[0]!Module1.RealPropertyOutputs">
                <anchor moveWithCells="1">
                  <from>
                    <xdr:col>4</xdr:col>
                    <xdr:colOff>19050</xdr:colOff>
                    <xdr:row>14</xdr:row>
                    <xdr:rowOff>171450</xdr:rowOff>
                  </from>
                  <to>
                    <xdr:col>4</xdr:col>
                    <xdr:colOff>1200150</xdr:colOff>
                    <xdr:row>14</xdr:row>
                    <xdr:rowOff>371475</xdr:rowOff>
                  </to>
                </anchor>
              </controlPr>
            </control>
          </mc:Choice>
        </mc:AlternateContent>
        <mc:AlternateContent xmlns:mc="http://schemas.openxmlformats.org/markup-compatibility/2006">
          <mc:Choice Requires="x14">
            <control shapeId="1069" r:id="rId31" name="Button 45">
              <controlPr defaultSize="0" print="0" autoFill="0" autoPict="0" macro="[0]!Module1.Rent2OwnOutputs">
                <anchor moveWithCells="1">
                  <from>
                    <xdr:col>4</xdr:col>
                    <xdr:colOff>19050</xdr:colOff>
                    <xdr:row>15</xdr:row>
                    <xdr:rowOff>171450</xdr:rowOff>
                  </from>
                  <to>
                    <xdr:col>4</xdr:col>
                    <xdr:colOff>1200150</xdr:colOff>
                    <xdr:row>15</xdr:row>
                    <xdr:rowOff>371475</xdr:rowOff>
                  </to>
                </anchor>
              </controlPr>
            </control>
          </mc:Choice>
        </mc:AlternateContent>
        <mc:AlternateContent xmlns:mc="http://schemas.openxmlformats.org/markup-compatibility/2006">
          <mc:Choice Requires="x14">
            <control shapeId="1070" r:id="rId32" name="Button 46">
              <controlPr defaultSize="0" print="0" autoFill="0" autoPict="0" macro="[0]!Module1.TaxesOutput">
                <anchor moveWithCells="1">
                  <from>
                    <xdr:col>4</xdr:col>
                    <xdr:colOff>19050</xdr:colOff>
                    <xdr:row>16</xdr:row>
                    <xdr:rowOff>171450</xdr:rowOff>
                  </from>
                  <to>
                    <xdr:col>4</xdr:col>
                    <xdr:colOff>1200150</xdr:colOff>
                    <xdr:row>16</xdr:row>
                    <xdr:rowOff>371475</xdr:rowOff>
                  </to>
                </anchor>
              </controlPr>
            </control>
          </mc:Choice>
        </mc:AlternateContent>
        <mc:AlternateContent xmlns:mc="http://schemas.openxmlformats.org/markup-compatibility/2006">
          <mc:Choice Requires="x14">
            <control shapeId="1071" r:id="rId33" name="Button 47">
              <controlPr defaultSize="0" print="0" autoFill="0" autoPict="0" macro="[0]!Module1.VehicleLoansOutput">
                <anchor moveWithCells="1">
                  <from>
                    <xdr:col>4</xdr:col>
                    <xdr:colOff>19050</xdr:colOff>
                    <xdr:row>17</xdr:row>
                    <xdr:rowOff>171450</xdr:rowOff>
                  </from>
                  <to>
                    <xdr:col>4</xdr:col>
                    <xdr:colOff>1200150</xdr:colOff>
                    <xdr:row>17</xdr:row>
                    <xdr:rowOff>371475</xdr:rowOff>
                  </to>
                </anchor>
              </controlPr>
            </control>
          </mc:Choice>
        </mc:AlternateContent>
        <mc:AlternateContent xmlns:mc="http://schemas.openxmlformats.org/markup-compatibility/2006">
          <mc:Choice Requires="x14">
            <control shapeId="1072" r:id="rId34" name="Button 48">
              <controlPr defaultSize="0" print="0" autoFill="0" autoPict="0" macro="[0]!Module1.VehiclesOutput">
                <anchor moveWithCells="1">
                  <from>
                    <xdr:col>4</xdr:col>
                    <xdr:colOff>19050</xdr:colOff>
                    <xdr:row>18</xdr:row>
                    <xdr:rowOff>171450</xdr:rowOff>
                  </from>
                  <to>
                    <xdr:col>4</xdr:col>
                    <xdr:colOff>1200150</xdr:colOff>
                    <xdr:row>18</xdr:row>
                    <xdr:rowOff>371475</xdr:rowOff>
                  </to>
                </anchor>
              </controlPr>
            </control>
          </mc:Choice>
        </mc:AlternateContent>
        <mc:AlternateContent xmlns:mc="http://schemas.openxmlformats.org/markup-compatibility/2006">
          <mc:Choice Requires="x14">
            <control shapeId="1073" r:id="rId35" name="Button 49">
              <controlPr defaultSize="0" print="0" autoFill="0" autoPict="0" macro="[0]!Basic">
                <anchor moveWithCells="1">
                  <from>
                    <xdr:col>1</xdr:col>
                    <xdr:colOff>19050</xdr:colOff>
                    <xdr:row>3</xdr:row>
                    <xdr:rowOff>171450</xdr:rowOff>
                  </from>
                  <to>
                    <xdr:col>1</xdr:col>
                    <xdr:colOff>1200150</xdr:colOff>
                    <xdr:row>3</xdr:row>
                    <xdr:rowOff>371475</xdr:rowOff>
                  </to>
                </anchor>
              </controlPr>
            </control>
          </mc:Choice>
        </mc:AlternateContent>
        <mc:AlternateContent xmlns:mc="http://schemas.openxmlformats.org/markup-compatibility/2006">
          <mc:Choice Requires="x14">
            <control shapeId="1074" r:id="rId36" name="Button 50">
              <controlPr defaultSize="0" print="0" autoFill="0" autoPict="0" macro="[0]!DebtSummary">
                <anchor moveWithCells="1">
                  <from>
                    <xdr:col>1</xdr:col>
                    <xdr:colOff>19050</xdr:colOff>
                    <xdr:row>10</xdr:row>
                    <xdr:rowOff>171450</xdr:rowOff>
                  </from>
                  <to>
                    <xdr:col>1</xdr:col>
                    <xdr:colOff>1200150</xdr:colOff>
                    <xdr:row>10</xdr:row>
                    <xdr:rowOff>371475</xdr:rowOff>
                  </to>
                </anchor>
              </controlPr>
            </control>
          </mc:Choice>
        </mc:AlternateContent>
        <mc:AlternateContent xmlns:mc="http://schemas.openxmlformats.org/markup-compatibility/2006">
          <mc:Choice Requires="x14">
            <control shapeId="1075" r:id="rId37" name="Button 51">
              <controlPr defaultSize="0" print="0" autoFill="0" autoPict="0" macro="[0]!Misc">
                <anchor moveWithCells="1">
                  <from>
                    <xdr:col>1</xdr:col>
                    <xdr:colOff>19050</xdr:colOff>
                    <xdr:row>11</xdr:row>
                    <xdr:rowOff>171450</xdr:rowOff>
                  </from>
                  <to>
                    <xdr:col>1</xdr:col>
                    <xdr:colOff>1200150</xdr:colOff>
                    <xdr:row>11</xdr:row>
                    <xdr:rowOff>371475</xdr:rowOff>
                  </to>
                </anchor>
              </controlPr>
            </control>
          </mc:Choice>
        </mc:AlternateContent>
        <mc:AlternateContent xmlns:mc="http://schemas.openxmlformats.org/markup-compatibility/2006">
          <mc:Choice Requires="x14">
            <control shapeId="1076" r:id="rId38" name="Button 52">
              <controlPr defaultSize="0" print="0" autoFill="0" autoPict="0" macro="[0]!Rent2Own">
                <anchor moveWithCells="1">
                  <from>
                    <xdr:col>1</xdr:col>
                    <xdr:colOff>19050</xdr:colOff>
                    <xdr:row>20</xdr:row>
                    <xdr:rowOff>171450</xdr:rowOff>
                  </from>
                  <to>
                    <xdr:col>1</xdr:col>
                    <xdr:colOff>1200150</xdr:colOff>
                    <xdr:row>20</xdr:row>
                    <xdr:rowOff>371475</xdr:rowOff>
                  </to>
                </anchor>
              </controlPr>
            </control>
          </mc:Choice>
        </mc:AlternateContent>
        <mc:AlternateContent xmlns:mc="http://schemas.openxmlformats.org/markup-compatibility/2006">
          <mc:Choice Requires="x14">
            <control shapeId="1077" r:id="rId39" name="Button 53">
              <controlPr defaultSize="0" print="0" autoFill="0" autoPict="0" macro="[0]!Emergencies">
                <anchor moveWithCells="1">
                  <from>
                    <xdr:col>1</xdr:col>
                    <xdr:colOff>19050</xdr:colOff>
                    <xdr:row>9</xdr:row>
                    <xdr:rowOff>171450</xdr:rowOff>
                  </from>
                  <to>
                    <xdr:col>1</xdr:col>
                    <xdr:colOff>1200150</xdr:colOff>
                    <xdr:row>9</xdr:row>
                    <xdr:rowOff>371475</xdr:rowOff>
                  </to>
                </anchor>
              </controlPr>
            </control>
          </mc:Choice>
        </mc:AlternateContent>
        <mc:AlternateContent xmlns:mc="http://schemas.openxmlformats.org/markup-compatibility/2006">
          <mc:Choice Requires="x14">
            <control shapeId="1079" r:id="rId40" name="Button 55">
              <controlPr defaultSize="0" print="0" autoFill="0" autoPict="0" macro="[0]!Module1.Notes">
                <anchor moveWithCells="1">
                  <from>
                    <xdr:col>1</xdr:col>
                    <xdr:colOff>19050</xdr:colOff>
                    <xdr:row>6</xdr:row>
                    <xdr:rowOff>171450</xdr:rowOff>
                  </from>
                  <to>
                    <xdr:col>1</xdr:col>
                    <xdr:colOff>1200150</xdr:colOff>
                    <xdr:row>6</xdr:row>
                    <xdr:rowOff>371475</xdr:rowOff>
                  </to>
                </anchor>
              </controlPr>
            </control>
          </mc:Choice>
        </mc:AlternateContent>
        <mc:AlternateContent xmlns:mc="http://schemas.openxmlformats.org/markup-compatibility/2006">
          <mc:Choice Requires="x14">
            <control shapeId="1081" r:id="rId41" name="Button 57">
              <controlPr defaultSize="0" print="0" autoFill="0" autoPict="0" macro="[0]!NonVehicleSecured">
                <anchor moveWithCells="1">
                  <from>
                    <xdr:col>1</xdr:col>
                    <xdr:colOff>19050</xdr:colOff>
                    <xdr:row>19</xdr:row>
                    <xdr:rowOff>171450</xdr:rowOff>
                  </from>
                  <to>
                    <xdr:col>1</xdr:col>
                    <xdr:colOff>1200150</xdr:colOff>
                    <xdr:row>19</xdr:row>
                    <xdr:rowOff>371475</xdr:rowOff>
                  </to>
                </anchor>
              </controlPr>
            </control>
          </mc:Choice>
        </mc:AlternateContent>
        <mc:AlternateContent xmlns:mc="http://schemas.openxmlformats.org/markup-compatibility/2006">
          <mc:Choice Requires="x14">
            <control shapeId="1083" r:id="rId42" name="Button 59">
              <controlPr defaultSize="0" print="0" autoFill="0" autoPict="0" macro="[0]!Cleaner">
                <anchor moveWithCells="1">
                  <from>
                    <xdr:col>6</xdr:col>
                    <xdr:colOff>19050</xdr:colOff>
                    <xdr:row>4</xdr:row>
                    <xdr:rowOff>171450</xdr:rowOff>
                  </from>
                  <to>
                    <xdr:col>6</xdr:col>
                    <xdr:colOff>1200150</xdr:colOff>
                    <xdr:row>4</xdr:row>
                    <xdr:rowOff>371475</xdr:rowOff>
                  </to>
                </anchor>
              </controlPr>
            </control>
          </mc:Choice>
        </mc:AlternateContent>
        <mc:AlternateContent xmlns:mc="http://schemas.openxmlformats.org/markup-compatibility/2006">
          <mc:Choice Requires="x14">
            <control shapeId="1085" r:id="rId43" name="Button 61">
              <controlPr defaultSize="0" print="0" autoFill="0" autoPict="0" macro="[0]!Mover">
                <anchor moveWithCells="1">
                  <from>
                    <xdr:col>6</xdr:col>
                    <xdr:colOff>19050</xdr:colOff>
                    <xdr:row>5</xdr:row>
                    <xdr:rowOff>171450</xdr:rowOff>
                  </from>
                  <to>
                    <xdr:col>6</xdr:col>
                    <xdr:colOff>1200150</xdr:colOff>
                    <xdr:row>5</xdr:row>
                    <xdr:rowOff>371475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C7:E25"/>
  <sheetViews>
    <sheetView workbookViewId="0">
      <selection activeCell="D24" sqref="D24"/>
    </sheetView>
  </sheetViews>
  <sheetFormatPr defaultRowHeight="15" x14ac:dyDescent="0.25"/>
  <cols>
    <col min="3" max="3" width="20.140625" customWidth="1"/>
    <col min="4" max="4" width="23.140625" customWidth="1"/>
    <col min="5" max="5" width="21.5703125" customWidth="1"/>
  </cols>
  <sheetData>
    <row r="7" spans="3:5" x14ac:dyDescent="0.25">
      <c r="D7" s="3" t="s">
        <v>217</v>
      </c>
      <c r="E7" s="3" t="s">
        <v>218</v>
      </c>
    </row>
    <row r="9" spans="3:5" x14ac:dyDescent="0.25">
      <c r="C9" s="1" t="s">
        <v>21</v>
      </c>
      <c r="D9">
        <f>BasicOutput!$C$2</f>
        <v>0</v>
      </c>
      <c r="E9">
        <f>BasicOutput!$T$2</f>
        <v>0</v>
      </c>
    </row>
    <row r="10" spans="3:5" x14ac:dyDescent="0.25">
      <c r="C10" s="1" t="s">
        <v>20</v>
      </c>
      <c r="D10">
        <f>BasicOutput!$D$2</f>
        <v>0</v>
      </c>
      <c r="E10">
        <f>BasicOutput!$U$2</f>
        <v>0</v>
      </c>
    </row>
    <row r="11" spans="3:5" x14ac:dyDescent="0.25">
      <c r="C11" s="1" t="s">
        <v>19</v>
      </c>
      <c r="D11">
        <f>BasicOutput!$E$2</f>
        <v>0</v>
      </c>
      <c r="E11">
        <f>BasicOutput!$V$2</f>
        <v>0</v>
      </c>
    </row>
    <row r="12" spans="3:5" x14ac:dyDescent="0.25">
      <c r="C12" s="1" t="s">
        <v>18</v>
      </c>
      <c r="D12">
        <f>BasicOutput!$F$2</f>
        <v>0</v>
      </c>
      <c r="E12">
        <f>BasicOutput!$W$2</f>
        <v>0</v>
      </c>
    </row>
    <row r="13" spans="3:5" x14ac:dyDescent="0.25">
      <c r="C13" s="1" t="s">
        <v>17</v>
      </c>
      <c r="D13">
        <f>BasicOutput!$G$2</f>
        <v>0</v>
      </c>
      <c r="E13">
        <f>BasicOutput!$X$2</f>
        <v>0</v>
      </c>
    </row>
    <row r="14" spans="3:5" x14ac:dyDescent="0.25">
      <c r="C14" s="1" t="s">
        <v>16</v>
      </c>
      <c r="D14">
        <f>BasicOutput!$H$2</f>
        <v>0</v>
      </c>
      <c r="E14">
        <f>BasicOutput!$Y$2</f>
        <v>0</v>
      </c>
    </row>
    <row r="15" spans="3:5" x14ac:dyDescent="0.25">
      <c r="C15" s="1" t="s">
        <v>15</v>
      </c>
      <c r="D15">
        <f>BasicOutput!$I$2</f>
        <v>0</v>
      </c>
      <c r="E15">
        <f>BasicOutput!$Z$2</f>
        <v>0</v>
      </c>
    </row>
    <row r="16" spans="3:5" x14ac:dyDescent="0.25">
      <c r="C16" s="1" t="s">
        <v>14</v>
      </c>
      <c r="D16">
        <f>BasicOutput!$J$2</f>
        <v>0</v>
      </c>
      <c r="E16">
        <f>BasicOutput!$AA$2</f>
        <v>0</v>
      </c>
    </row>
    <row r="17" spans="3:5" x14ac:dyDescent="0.25">
      <c r="C17" s="1" t="s">
        <v>13</v>
      </c>
      <c r="D17">
        <f>BasicOutput!$K$2</f>
        <v>0</v>
      </c>
      <c r="E17">
        <f>BasicOutput!$AB$2</f>
        <v>0</v>
      </c>
    </row>
    <row r="18" spans="3:5" x14ac:dyDescent="0.25">
      <c r="C18" s="1" t="s">
        <v>12</v>
      </c>
      <c r="D18">
        <f>BasicOutput!$L$2</f>
        <v>0</v>
      </c>
      <c r="E18">
        <f>BasicOutput!$AC$2</f>
        <v>0</v>
      </c>
    </row>
    <row r="19" spans="3:5" x14ac:dyDescent="0.25">
      <c r="C19" s="1" t="s">
        <v>11</v>
      </c>
      <c r="D19">
        <f>BasicOutput!$M$2</f>
        <v>0</v>
      </c>
      <c r="E19">
        <f>BasicOutput!$AD$2</f>
        <v>0</v>
      </c>
    </row>
    <row r="20" spans="3:5" x14ac:dyDescent="0.25">
      <c r="C20" s="1" t="s">
        <v>10</v>
      </c>
      <c r="D20">
        <f>BasicOutput!$N$2</f>
        <v>0</v>
      </c>
      <c r="E20">
        <f>BasicOutput!$AE$2</f>
        <v>0</v>
      </c>
    </row>
    <row r="21" spans="3:5" x14ac:dyDescent="0.25">
      <c r="C21" s="1" t="s">
        <v>9</v>
      </c>
      <c r="D21">
        <f>BasicOutput!$O$2</f>
        <v>0</v>
      </c>
      <c r="E21">
        <f>BasicOutput!$AF$2</f>
        <v>0</v>
      </c>
    </row>
    <row r="22" spans="3:5" x14ac:dyDescent="0.25">
      <c r="C22" s="1" t="s">
        <v>8</v>
      </c>
      <c r="D22">
        <f>BasicOutput!$P$2</f>
        <v>0</v>
      </c>
      <c r="E22">
        <f>BasicOutput!$AG$2</f>
        <v>0</v>
      </c>
    </row>
    <row r="23" spans="3:5" x14ac:dyDescent="0.25">
      <c r="C23" s="1" t="s">
        <v>7</v>
      </c>
      <c r="D23">
        <f>BasicOutput!$Q$2</f>
        <v>0</v>
      </c>
      <c r="E23">
        <f>BasicOutput!$AH$2</f>
        <v>0</v>
      </c>
    </row>
    <row r="24" spans="3:5" x14ac:dyDescent="0.25">
      <c r="C24" s="1" t="s">
        <v>6</v>
      </c>
      <c r="D24">
        <f>BasicOutput!$R$2</f>
        <v>0</v>
      </c>
    </row>
    <row r="25" spans="3:5" x14ac:dyDescent="0.25">
      <c r="C25" s="1" t="s">
        <v>5</v>
      </c>
      <c r="D25">
        <f>BasicOutput!$S$2</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226" r:id="rId3" name="Button 2">
              <controlPr defaultSize="0" print="0" autoFill="0" autoPict="0" macro="[0]!AnalysisMenu">
                <anchor moveWithCells="1">
                  <from>
                    <xdr:col>0</xdr:col>
                    <xdr:colOff>447675</xdr:colOff>
                    <xdr:row>0</xdr:row>
                    <xdr:rowOff>114300</xdr:rowOff>
                  </from>
                  <to>
                    <xdr:col>2</xdr:col>
                    <xdr:colOff>990600</xdr:colOff>
                    <xdr:row>1</xdr:row>
                    <xdr:rowOff>161925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4:AD46"/>
  <sheetViews>
    <sheetView workbookViewId="0">
      <selection activeCell="B6" sqref="B6"/>
    </sheetView>
  </sheetViews>
  <sheetFormatPr defaultRowHeight="15" x14ac:dyDescent="0.25"/>
  <cols>
    <col min="1" max="1" width="32.140625" customWidth="1"/>
    <col min="2" max="2" width="18.85546875" customWidth="1"/>
    <col min="29" max="29" width="26.42578125" customWidth="1"/>
  </cols>
  <sheetData>
    <row r="4" spans="1:30" x14ac:dyDescent="0.25">
      <c r="B4" s="4"/>
      <c r="AD4" s="28" t="e">
        <f>IF($T$454&gt;VLOOKUP($K$506,$B$1906:$E$1920,2),"FAILED","PASSED")</f>
        <v>#N/A</v>
      </c>
    </row>
    <row r="5" spans="1:30" x14ac:dyDescent="0.25">
      <c r="AC5" s="4" t="s">
        <v>829</v>
      </c>
      <c r="AD5" s="28" t="e">
        <f>IF(#REF!&gt;VLOOKUP($K$506,$B$1906:$E$1920,3),"FAILED","PASSED")</f>
        <v>#REF!</v>
      </c>
    </row>
    <row r="6" spans="1:30" x14ac:dyDescent="0.25">
      <c r="A6" s="18" t="s">
        <v>828</v>
      </c>
      <c r="B6" s="4" t="str">
        <f>IF(Income!$K$35&lt;MeansTest!$B$10,"Passed","Failed")</f>
        <v>Passed</v>
      </c>
      <c r="AC6" s="4" t="s">
        <v>830</v>
      </c>
      <c r="AD6" s="28" t="e">
        <f>IF(#REF!&gt;VLOOKUP($K$506,$B$1906:$E$1920,4),"FAILED","PASSED")</f>
        <v>#REF!</v>
      </c>
    </row>
    <row r="7" spans="1:30" x14ac:dyDescent="0.25">
      <c r="A7" s="18" t="s">
        <v>195</v>
      </c>
      <c r="B7" s="4">
        <f>Equity!$F$50</f>
        <v>0</v>
      </c>
      <c r="AC7" s="4"/>
      <c r="AD7" s="28"/>
    </row>
    <row r="8" spans="1:30" x14ac:dyDescent="0.25">
      <c r="A8" s="14" t="s">
        <v>832</v>
      </c>
      <c r="B8">
        <f>Emergencies!$C$13</f>
        <v>0</v>
      </c>
      <c r="AC8" s="4" t="s">
        <v>831</v>
      </c>
      <c r="AD8" s="102">
        <f>$S$446</f>
        <v>0</v>
      </c>
    </row>
    <row r="9" spans="1:30" x14ac:dyDescent="0.25">
      <c r="A9" s="14" t="s">
        <v>833</v>
      </c>
      <c r="B9">
        <f>Emergencies!$B$13</f>
        <v>0</v>
      </c>
      <c r="AC9" t="s">
        <v>832</v>
      </c>
      <c r="AD9" s="102" t="str">
        <f>$A$32</f>
        <v>Back Taxes - IRS</v>
      </c>
    </row>
    <row r="10" spans="1:30" x14ac:dyDescent="0.25">
      <c r="A10" s="14" t="s">
        <v>834</v>
      </c>
      <c r="B10" s="178">
        <f>Emergencies!$C$16</f>
        <v>0</v>
      </c>
      <c r="AC10" t="s">
        <v>833</v>
      </c>
      <c r="AD10" s="102" t="e">
        <f>#REF!</f>
        <v>#REF!</v>
      </c>
    </row>
    <row r="11" spans="1:30" x14ac:dyDescent="0.25">
      <c r="A11" s="14" t="s">
        <v>835</v>
      </c>
      <c r="B11">
        <f>Emergencies!$B$19</f>
        <v>0</v>
      </c>
      <c r="AC11" t="s">
        <v>834</v>
      </c>
      <c r="AD11" s="186">
        <f>$B$42</f>
        <v>0</v>
      </c>
    </row>
    <row r="12" spans="1:30" x14ac:dyDescent="0.25">
      <c r="A12" s="14" t="str">
        <f>RealProperty!C52</f>
        <v xml:space="preserve"> </v>
      </c>
      <c r="B12" s="4">
        <f>RealProperty!Q66</f>
        <v>0</v>
      </c>
      <c r="C12" t="str">
        <f>IF(B12&gt;0,"Arrearage"," ")</f>
        <v xml:space="preserve"> </v>
      </c>
      <c r="AC12" t="s">
        <v>835</v>
      </c>
      <c r="AD12" s="102" t="str">
        <f>$A$36</f>
        <v>Other Departments of Rev</v>
      </c>
    </row>
    <row r="13" spans="1:30" x14ac:dyDescent="0.25">
      <c r="A13" s="14" t="str">
        <f>RealProperty!C53</f>
        <v xml:space="preserve"> </v>
      </c>
      <c r="B13" s="4">
        <f>RealProperty!Q67</f>
        <v>0</v>
      </c>
      <c r="C13" t="str">
        <f t="shared" ref="C13:C21" si="0">IF(B13&gt;0,"Arrearage"," ")</f>
        <v xml:space="preserve"> </v>
      </c>
      <c r="AC13" s="102">
        <f>$J$3</f>
        <v>0</v>
      </c>
      <c r="AD13" s="28" t="e">
        <f>IF(OR(#REF!="Yes",#REF!="Yes",#REF!="Yes",#REF!="Yes",#REF!="Yes"),"BEHIND","OK")</f>
        <v>#REF!</v>
      </c>
    </row>
    <row r="14" spans="1:30" x14ac:dyDescent="0.25">
      <c r="A14" s="14" t="str">
        <f>RealProperty!C54</f>
        <v xml:space="preserve"> </v>
      </c>
      <c r="B14" s="4">
        <f>RealProperty!Q68</f>
        <v>0</v>
      </c>
      <c r="C14" t="str">
        <f t="shared" si="0"/>
        <v xml:space="preserve"> </v>
      </c>
      <c r="AC14" s="102">
        <f>$J$21</f>
        <v>0</v>
      </c>
      <c r="AD14" s="28" t="e">
        <f>IF(OR(#REF!="Yes",#REF!="Yes",#REF!="Yes",#REF!="Yes",#REF!="Yes"),"BEHIND","OK")</f>
        <v>#REF!</v>
      </c>
    </row>
    <row r="15" spans="1:30" x14ac:dyDescent="0.25">
      <c r="A15" s="14" t="str">
        <f>RealProperty!C55</f>
        <v xml:space="preserve"> </v>
      </c>
      <c r="B15" s="4">
        <f>RealProperty!Q69</f>
        <v>0</v>
      </c>
      <c r="C15" t="str">
        <f t="shared" si="0"/>
        <v xml:space="preserve"> </v>
      </c>
      <c r="AC15" s="102">
        <f>$J$36</f>
        <v>0</v>
      </c>
      <c r="AD15" s="28" t="e">
        <f>IF(OR(#REF!="Yes",#REF!="Yes",#REF!="Yes",#REF!="Yes",#REF!="Yes"),"BEHIND","OK")</f>
        <v>#REF!</v>
      </c>
    </row>
    <row r="16" spans="1:30" x14ac:dyDescent="0.25">
      <c r="A16" s="14" t="str">
        <f>RealProperty!C56</f>
        <v xml:space="preserve"> </v>
      </c>
      <c r="B16" s="4">
        <f>RealProperty!Q70</f>
        <v>0</v>
      </c>
      <c r="C16" t="str">
        <f t="shared" si="0"/>
        <v xml:space="preserve"> </v>
      </c>
      <c r="AC16" s="102">
        <f>$J$53</f>
        <v>0</v>
      </c>
      <c r="AD16" s="28" t="e">
        <f>IF(OR(#REF!="Yes",#REF!="Yes",#REF!="Yes",#REF!="Yes",#REF!="Yes"),"BEHIND","OK")</f>
        <v>#REF!</v>
      </c>
    </row>
    <row r="17" spans="1:30" x14ac:dyDescent="0.25">
      <c r="A17" s="14" t="str">
        <f>RealProperty!C57</f>
        <v xml:space="preserve"> </v>
      </c>
      <c r="B17" s="4">
        <f>RealProperty!Q71</f>
        <v>0</v>
      </c>
      <c r="C17" t="str">
        <f t="shared" si="0"/>
        <v xml:space="preserve"> </v>
      </c>
      <c r="AC17" s="102">
        <f>$J$68</f>
        <v>0</v>
      </c>
      <c r="AD17" s="28" t="e">
        <f>IF(OR(#REF!="Yes",#REF!="Yes",#REF!="Yes",#REF!="Yes",#REF!="Yes"),"BEHIND","OK")</f>
        <v>#REF!</v>
      </c>
    </row>
    <row r="18" spans="1:30" x14ac:dyDescent="0.25">
      <c r="A18" s="14" t="str">
        <f>RealProperty!C58</f>
        <v xml:space="preserve"> </v>
      </c>
      <c r="B18" s="4">
        <f>RealProperty!Q72</f>
        <v>0</v>
      </c>
      <c r="C18" t="str">
        <f t="shared" si="0"/>
        <v xml:space="preserve"> </v>
      </c>
      <c r="AC18" s="187" t="s">
        <v>836</v>
      </c>
      <c r="AD18" s="102">
        <f>$AP$3</f>
        <v>0</v>
      </c>
    </row>
    <row r="19" spans="1:30" x14ac:dyDescent="0.25">
      <c r="A19" s="14" t="str">
        <f>RealProperty!C59</f>
        <v xml:space="preserve"> </v>
      </c>
      <c r="B19" s="4">
        <f>RealProperty!Q73</f>
        <v>0</v>
      </c>
      <c r="C19" t="str">
        <f t="shared" si="0"/>
        <v xml:space="preserve"> </v>
      </c>
      <c r="AC19" s="187" t="s">
        <v>837</v>
      </c>
      <c r="AD19" s="28" t="e">
        <f>IF(OR(#REF!="Yes",#REF!="Yes"),"BEHIND","OK")</f>
        <v>#REF!</v>
      </c>
    </row>
    <row r="20" spans="1:30" x14ac:dyDescent="0.25">
      <c r="A20" s="14" t="str">
        <f>RealProperty!C60</f>
        <v xml:space="preserve"> </v>
      </c>
      <c r="B20" s="4">
        <f>RealProperty!Q74</f>
        <v>0</v>
      </c>
      <c r="C20" t="str">
        <f t="shared" si="0"/>
        <v xml:space="preserve"> </v>
      </c>
      <c r="AC20" s="187" t="s">
        <v>838</v>
      </c>
      <c r="AD20" s="102">
        <f>$AP$15</f>
        <v>0</v>
      </c>
    </row>
    <row r="21" spans="1:30" x14ac:dyDescent="0.25">
      <c r="A21" s="14" t="str">
        <f>RealProperty!C61</f>
        <v xml:space="preserve"> </v>
      </c>
      <c r="B21" s="4">
        <f>RealProperty!Q75</f>
        <v>0</v>
      </c>
      <c r="C21" t="str">
        <f t="shared" si="0"/>
        <v xml:space="preserve"> </v>
      </c>
      <c r="AC21" s="187" t="s">
        <v>839</v>
      </c>
      <c r="AD21" s="28" t="e">
        <f>IF(OR(#REF!="Yes",#REF!="Yes"),"BEHIND","OK")</f>
        <v>#REF!</v>
      </c>
    </row>
    <row r="22" spans="1:30" x14ac:dyDescent="0.25">
      <c r="A22" s="188" t="str">
        <f>Vehicles!D42</f>
        <v xml:space="preserve"> </v>
      </c>
      <c r="B22" t="str">
        <f>IF(A22=" "," ",Vehicles!G15)</f>
        <v xml:space="preserve"> </v>
      </c>
      <c r="C22" s="4">
        <f>Vehicles!K56</f>
        <v>0</v>
      </c>
      <c r="D22" t="str">
        <f>IF(C22&gt;0,"Arrearage"," ")</f>
        <v xml:space="preserve"> </v>
      </c>
      <c r="AC22" s="187" t="s">
        <v>840</v>
      </c>
      <c r="AD22" s="102">
        <f>$AP$25</f>
        <v>0</v>
      </c>
    </row>
    <row r="23" spans="1:30" x14ac:dyDescent="0.25">
      <c r="A23" s="188" t="str">
        <f>Vehicles!D43</f>
        <v xml:space="preserve"> </v>
      </c>
      <c r="B23" t="str">
        <f>IF(A23=" "," ",Vehicles!G16)</f>
        <v xml:space="preserve"> </v>
      </c>
      <c r="C23" s="4">
        <f>Vehicles!K57</f>
        <v>0</v>
      </c>
      <c r="D23" t="str">
        <f t="shared" ref="D23:D31" si="1">IF(C23&gt;0,"Arrearage"," ")</f>
        <v xml:space="preserve"> </v>
      </c>
      <c r="AC23" s="187" t="s">
        <v>841</v>
      </c>
      <c r="AD23" s="28" t="e">
        <f>IF(OR(#REF!="Yes",#REF!="Yes"),"BEHIND","OK")</f>
        <v>#REF!</v>
      </c>
    </row>
    <row r="24" spans="1:30" x14ac:dyDescent="0.25">
      <c r="A24" s="188" t="str">
        <f>Vehicles!D44</f>
        <v xml:space="preserve"> </v>
      </c>
      <c r="B24" t="str">
        <f>IF(A24=" "," ",Vehicles!G17)</f>
        <v xml:space="preserve"> </v>
      </c>
      <c r="C24" s="4">
        <f>Vehicles!K58</f>
        <v>0</v>
      </c>
      <c r="D24" t="str">
        <f t="shared" si="1"/>
        <v xml:space="preserve"> </v>
      </c>
      <c r="AC24" s="187" t="s">
        <v>842</v>
      </c>
      <c r="AD24" s="102">
        <f>$AP$33</f>
        <v>0</v>
      </c>
    </row>
    <row r="25" spans="1:30" x14ac:dyDescent="0.25">
      <c r="A25" s="188" t="str">
        <f>Vehicles!D45</f>
        <v xml:space="preserve"> </v>
      </c>
      <c r="B25" t="str">
        <f>IF(A25=" "," ",Vehicles!G18)</f>
        <v xml:space="preserve"> </v>
      </c>
      <c r="C25" s="4">
        <f>Vehicles!K59</f>
        <v>0</v>
      </c>
      <c r="D25" t="str">
        <f t="shared" si="1"/>
        <v xml:space="preserve"> </v>
      </c>
      <c r="AC25" s="187" t="s">
        <v>843</v>
      </c>
      <c r="AD25" s="28" t="e">
        <f>IF(OR(#REF!="Yes",#REF!="Yes"),"BEHIND","OK")</f>
        <v>#REF!</v>
      </c>
    </row>
    <row r="26" spans="1:30" x14ac:dyDescent="0.25">
      <c r="A26" s="188" t="str">
        <f>Vehicles!D46</f>
        <v xml:space="preserve"> </v>
      </c>
      <c r="B26" t="str">
        <f>IF(A26=" "," ",Vehicles!G19)</f>
        <v xml:space="preserve"> </v>
      </c>
      <c r="C26" s="4">
        <f>Vehicles!K60</f>
        <v>0</v>
      </c>
      <c r="D26" t="str">
        <f t="shared" si="1"/>
        <v xml:space="preserve"> </v>
      </c>
      <c r="AC26" s="187" t="s">
        <v>844</v>
      </c>
      <c r="AD26" s="102">
        <f>$AP$42</f>
        <v>0</v>
      </c>
    </row>
    <row r="27" spans="1:30" x14ac:dyDescent="0.25">
      <c r="A27" s="188" t="str">
        <f>Vehicles!D47</f>
        <v xml:space="preserve"> </v>
      </c>
      <c r="B27" t="str">
        <f>IF(A27=" "," ",Vehicles!G20)</f>
        <v xml:space="preserve"> </v>
      </c>
      <c r="C27" s="4">
        <f>Vehicles!K61</f>
        <v>0</v>
      </c>
      <c r="D27" t="str">
        <f t="shared" si="1"/>
        <v xml:space="preserve"> </v>
      </c>
      <c r="AC27" s="187" t="s">
        <v>845</v>
      </c>
      <c r="AD27" s="28" t="e">
        <f>IF(OR(#REF!="Yes",#REF!="Yes"),"BEHIND","OK")</f>
        <v>#REF!</v>
      </c>
    </row>
    <row r="28" spans="1:30" x14ac:dyDescent="0.25">
      <c r="A28" s="188" t="str">
        <f>Vehicles!D48</f>
        <v xml:space="preserve"> </v>
      </c>
      <c r="B28" t="str">
        <f>IF(A28=" "," ",Vehicles!G21)</f>
        <v xml:space="preserve"> </v>
      </c>
      <c r="C28" s="4">
        <f>Vehicles!K62</f>
        <v>0</v>
      </c>
      <c r="D28" t="str">
        <f t="shared" si="1"/>
        <v xml:space="preserve"> </v>
      </c>
      <c r="AC28" s="187" t="s">
        <v>846</v>
      </c>
      <c r="AD28" s="102">
        <f>$AP$51</f>
        <v>0</v>
      </c>
    </row>
    <row r="29" spans="1:30" x14ac:dyDescent="0.25">
      <c r="A29" s="188" t="str">
        <f>Vehicles!D49</f>
        <v xml:space="preserve"> </v>
      </c>
      <c r="B29" t="str">
        <f>IF(A29=" "," ",Vehicles!G22)</f>
        <v xml:space="preserve"> </v>
      </c>
      <c r="C29" s="4">
        <f>Vehicles!K63</f>
        <v>0</v>
      </c>
      <c r="D29" t="str">
        <f t="shared" si="1"/>
        <v xml:space="preserve"> </v>
      </c>
      <c r="AC29" s="187" t="s">
        <v>847</v>
      </c>
      <c r="AD29" s="28" t="e">
        <f>IF(OR(#REF!="Yes",#REF!="Yes"),"BEHIND","OK")</f>
        <v>#REF!</v>
      </c>
    </row>
    <row r="30" spans="1:30" x14ac:dyDescent="0.25">
      <c r="A30" s="188" t="str">
        <f>Vehicles!D50</f>
        <v xml:space="preserve"> </v>
      </c>
      <c r="B30" t="str">
        <f>IF(A30=" "," ",Vehicles!G23)</f>
        <v xml:space="preserve"> </v>
      </c>
      <c r="C30" s="4">
        <f>Vehicles!K64</f>
        <v>0</v>
      </c>
      <c r="D30" t="str">
        <f t="shared" si="1"/>
        <v xml:space="preserve"> </v>
      </c>
      <c r="AC30" s="187" t="s">
        <v>848</v>
      </c>
      <c r="AD30" s="102">
        <f>$AP$60</f>
        <v>0</v>
      </c>
    </row>
    <row r="31" spans="1:30" x14ac:dyDescent="0.25">
      <c r="A31" s="188" t="str">
        <f>Vehicles!D51</f>
        <v xml:space="preserve"> </v>
      </c>
      <c r="B31" t="str">
        <f>IF(A31=" "," ",Vehicles!G24)</f>
        <v xml:space="preserve"> </v>
      </c>
      <c r="C31" s="4">
        <f>Vehicles!K65</f>
        <v>0</v>
      </c>
      <c r="D31" t="str">
        <f t="shared" si="1"/>
        <v xml:space="preserve"> </v>
      </c>
      <c r="AC31" s="187" t="s">
        <v>849</v>
      </c>
      <c r="AD31" s="28" t="e">
        <f>IF(OR(#REF!="Yes",#REF!="Yes"),"BEHIND","OK")</f>
        <v>#REF!</v>
      </c>
    </row>
    <row r="32" spans="1:30" x14ac:dyDescent="0.25">
      <c r="A32" s="18" t="s">
        <v>856</v>
      </c>
      <c r="B32" s="4">
        <f>BackTaxes!$D$14</f>
        <v>0</v>
      </c>
      <c r="AC32" s="187" t="s">
        <v>850</v>
      </c>
      <c r="AD32" s="102">
        <f>$AP$78</f>
        <v>0</v>
      </c>
    </row>
    <row r="33" spans="1:30" x14ac:dyDescent="0.25">
      <c r="A33" s="18" t="s">
        <v>857</v>
      </c>
      <c r="B33" s="4">
        <f>BackTaxes!$D$16</f>
        <v>0</v>
      </c>
      <c r="AC33" s="187" t="s">
        <v>851</v>
      </c>
      <c r="AD33" s="28" t="e">
        <f>IF(OR(#REF!="Yes",#REF!="Yes"),"BEHIND","OK")</f>
        <v>#REF!</v>
      </c>
    </row>
    <row r="34" spans="1:30" x14ac:dyDescent="0.25">
      <c r="A34" s="125" t="s">
        <v>858</v>
      </c>
      <c r="B34">
        <f>BackTaxes!$E$14</f>
        <v>0</v>
      </c>
      <c r="AC34" s="187" t="s">
        <v>852</v>
      </c>
      <c r="AD34" s="102">
        <f>$AP$87</f>
        <v>0</v>
      </c>
    </row>
    <row r="35" spans="1:30" x14ac:dyDescent="0.25">
      <c r="A35" s="125" t="s">
        <v>859</v>
      </c>
      <c r="B35">
        <f>BackTaxes!$E$16</f>
        <v>0</v>
      </c>
      <c r="AC35" s="187" t="s">
        <v>853</v>
      </c>
      <c r="AD35" s="28" t="e">
        <f>IF(OR(#REF!="Yes",#REF!="Yes"),"BEHIND","OK")</f>
        <v>#REF!</v>
      </c>
    </row>
    <row r="36" spans="1:30" x14ac:dyDescent="0.25">
      <c r="A36" s="125" t="s">
        <v>860</v>
      </c>
      <c r="B36" s="4">
        <f>BackTaxes!$D$18</f>
        <v>0</v>
      </c>
      <c r="AC36" s="4" t="s">
        <v>854</v>
      </c>
      <c r="AD36" s="28" t="e">
        <f>IF(OR(#REF!="Yes",#REF!="Yes",#REF!="Yes",#REF!="Yes",#REF!="Yes",#REF!="Yes",#REF!="Yes",#REF!="Yes",#REF!="Yes",#REF!="Yes"),"BEHIND","OK")</f>
        <v>#REF!</v>
      </c>
    </row>
    <row r="37" spans="1:30" x14ac:dyDescent="0.25">
      <c r="A37" s="18" t="s">
        <v>593</v>
      </c>
      <c r="B37" s="4">
        <f>DebtSummary!$D$15</f>
        <v>0</v>
      </c>
      <c r="AC37" s="4" t="s">
        <v>855</v>
      </c>
      <c r="AD37" s="28" t="e">
        <f>IF(OR(#REF!="Yes",#REF!="Yes",#REF!="Yes",#REF!="Yes",#REF!="Yes"),"BEHIND","OK")</f>
        <v>#REF!</v>
      </c>
    </row>
    <row r="38" spans="1:30" x14ac:dyDescent="0.25">
      <c r="A38" s="18" t="s">
        <v>861</v>
      </c>
      <c r="B38" s="4">
        <f>DebtSummary!$D$16</f>
        <v>0</v>
      </c>
      <c r="AC38" s="4" t="s">
        <v>856</v>
      </c>
      <c r="AD38" s="102">
        <f>$B$76</f>
        <v>0</v>
      </c>
    </row>
    <row r="39" spans="1:30" x14ac:dyDescent="0.25">
      <c r="A39" s="188" t="s">
        <v>863</v>
      </c>
      <c r="B39" s="4">
        <f>DebtSummary!$D$13</f>
        <v>0</v>
      </c>
      <c r="AC39" s="4" t="s">
        <v>857</v>
      </c>
      <c r="AD39" s="102">
        <f>$D$76</f>
        <v>0</v>
      </c>
    </row>
    <row r="40" spans="1:30" x14ac:dyDescent="0.25">
      <c r="AC40" s="124" t="s">
        <v>858</v>
      </c>
      <c r="AD40" s="102" t="e">
        <f>#REF!</f>
        <v>#REF!</v>
      </c>
    </row>
    <row r="41" spans="1:30" x14ac:dyDescent="0.25">
      <c r="AC41" s="124" t="s">
        <v>859</v>
      </c>
      <c r="AD41" s="102">
        <f>$D$75</f>
        <v>0</v>
      </c>
    </row>
    <row r="42" spans="1:30" x14ac:dyDescent="0.25">
      <c r="AC42" s="124" t="s">
        <v>860</v>
      </c>
      <c r="AD42" s="102">
        <f>$B$79</f>
        <v>0</v>
      </c>
    </row>
    <row r="43" spans="1:30" x14ac:dyDescent="0.25">
      <c r="AC43" s="4" t="s">
        <v>593</v>
      </c>
      <c r="AD43" s="102">
        <f>$B$61</f>
        <v>0</v>
      </c>
    </row>
    <row r="44" spans="1:30" x14ac:dyDescent="0.25">
      <c r="AC44" s="4" t="s">
        <v>861</v>
      </c>
      <c r="AD44" s="102">
        <f>$B$62</f>
        <v>0</v>
      </c>
    </row>
    <row r="45" spans="1:30" x14ac:dyDescent="0.25">
      <c r="AC45" s="187" t="s">
        <v>862</v>
      </c>
      <c r="AD45" s="102">
        <f>$B$63</f>
        <v>0</v>
      </c>
    </row>
    <row r="46" spans="1:30" x14ac:dyDescent="0.25">
      <c r="AC46" s="187" t="s">
        <v>863</v>
      </c>
      <c r="AD46" s="102">
        <f>$B$59</f>
        <v>0</v>
      </c>
    </row>
  </sheetData>
  <conditionalFormatting sqref="AD9:AD12 AD38:AD39 AD42:AD46">
    <cfRule type="cellIs" dxfId="18" priority="14" stopIfTrue="1" operator="greaterThan">
      <formula>0</formula>
    </cfRule>
  </conditionalFormatting>
  <conditionalFormatting sqref="AD4:AD7">
    <cfRule type="cellIs" dxfId="17" priority="15" stopIfTrue="1" operator="equal">
      <formula>"FAILED"</formula>
    </cfRule>
  </conditionalFormatting>
  <conditionalFormatting sqref="AD13:AD17 AD19 AD21 AD23 AD25 AD27 AD29 AD31 AD33 AD35:AD37">
    <cfRule type="cellIs" dxfId="16" priority="16" stopIfTrue="1" operator="equal">
      <formula>"BEHIND"</formula>
    </cfRule>
  </conditionalFormatting>
  <conditionalFormatting sqref="AD18 AD20 AD22 AD24 AD26 AD28 AD30 AD32 AD34">
    <cfRule type="cellIs" dxfId="15" priority="17" stopIfTrue="1" operator="equal">
      <formula>"No"</formula>
    </cfRule>
  </conditionalFormatting>
  <conditionalFormatting sqref="AD40:AD41">
    <cfRule type="cellIs" dxfId="14" priority="18" stopIfTrue="1" operator="equal">
      <formula>"Yes"</formula>
    </cfRule>
  </conditionalFormatting>
  <conditionalFormatting sqref="B6">
    <cfRule type="containsText" dxfId="13" priority="13" operator="containsText" text="Failed">
      <formula>NOT(ISERROR(SEARCH("Failed",B6)))</formula>
    </cfRule>
  </conditionalFormatting>
  <conditionalFormatting sqref="B7">
    <cfRule type="cellIs" dxfId="12" priority="8" operator="greaterThan">
      <formula>161019</formula>
    </cfRule>
    <cfRule type="cellIs" dxfId="11" priority="9" operator="greaterThan">
      <formula>161019</formula>
    </cfRule>
    <cfRule type="cellIs" dxfId="10" priority="12" operator="greaterThan">
      <formula>10000</formula>
    </cfRule>
  </conditionalFormatting>
  <conditionalFormatting sqref="B8">
    <cfRule type="notContainsBlanks" priority="11">
      <formula>LEN(TRIM(B8))&gt;0</formula>
    </cfRule>
    <cfRule type="notContainsBlanks" dxfId="9" priority="20">
      <formula>LEN(TRIM(B8))&gt;0</formula>
    </cfRule>
  </conditionalFormatting>
  <conditionalFormatting sqref="B9:B11">
    <cfRule type="notContainsBlanks" dxfId="8" priority="7">
      <formula>LEN(TRIM(B9))&gt;0</formula>
    </cfRule>
  </conditionalFormatting>
  <conditionalFormatting sqref="B12:B21">
    <cfRule type="cellIs" dxfId="7" priority="6" operator="greaterThan">
      <formula>0</formula>
    </cfRule>
  </conditionalFormatting>
  <conditionalFormatting sqref="B22:B31">
    <cfRule type="notContainsBlanks" dxfId="6" priority="5">
      <formula>LEN(TRIM(B22))&gt;0</formula>
    </cfRule>
  </conditionalFormatting>
  <conditionalFormatting sqref="C22:C31">
    <cfRule type="cellIs" dxfId="5" priority="4" operator="greaterThan">
      <formula>0</formula>
    </cfRule>
  </conditionalFormatting>
  <conditionalFormatting sqref="B32:B33">
    <cfRule type="cellIs" dxfId="4" priority="3" operator="greaterThan">
      <formula>0</formula>
    </cfRule>
  </conditionalFormatting>
  <conditionalFormatting sqref="B34:B35">
    <cfRule type="notContainsBlanks" dxfId="3" priority="2">
      <formula>LEN(TRIM(B34))&gt;0</formula>
    </cfRule>
  </conditionalFormatting>
  <conditionalFormatting sqref="B36:B39">
    <cfRule type="cellIs" dxfId="2" priority="1" operator="greaterThan">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AnalysisMenu">
                <anchor moveWithCells="1">
                  <from>
                    <xdr:col>0</xdr:col>
                    <xdr:colOff>447675</xdr:colOff>
                    <xdr:row>0</xdr:row>
                    <xdr:rowOff>114300</xdr:rowOff>
                  </from>
                  <to>
                    <xdr:col>1</xdr:col>
                    <xdr:colOff>66675</xdr:colOff>
                    <xdr:row>1</xdr:row>
                    <xdr:rowOff>161925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D6:K17"/>
  <sheetViews>
    <sheetView workbookViewId="0">
      <selection activeCell="D3" sqref="D3"/>
    </sheetView>
  </sheetViews>
  <sheetFormatPr defaultRowHeight="15" x14ac:dyDescent="0.25"/>
  <cols>
    <col min="4" max="4" width="19.5703125" customWidth="1"/>
    <col min="5" max="5" width="16" customWidth="1"/>
    <col min="7" max="7" width="16.85546875" customWidth="1"/>
    <col min="8" max="8" width="17" customWidth="1"/>
    <col min="10" max="10" width="22" customWidth="1"/>
  </cols>
  <sheetData>
    <row r="6" spans="4:11" x14ac:dyDescent="0.25">
      <c r="D6" s="17" t="s">
        <v>194</v>
      </c>
      <c r="E6" s="17" t="s">
        <v>294</v>
      </c>
      <c r="G6" s="17" t="s">
        <v>193</v>
      </c>
      <c r="H6" s="17" t="s">
        <v>294</v>
      </c>
      <c r="J6" s="17" t="s">
        <v>227</v>
      </c>
      <c r="K6" s="17" t="s">
        <v>294</v>
      </c>
    </row>
    <row r="8" spans="4:11" x14ac:dyDescent="0.25">
      <c r="D8" s="14" t="str">
        <f>IF(RealPropertyOutputs!$B$2=0," ",RealPropertyOutputs!$B$2)</f>
        <v xml:space="preserve"> </v>
      </c>
      <c r="E8" s="18">
        <f>RealProperty!P66</f>
        <v>0</v>
      </c>
      <c r="G8" s="14" t="str">
        <f>IF(VehiclesOutput!$B$2=0," ", VehiclesOutput!$B$2)</f>
        <v xml:space="preserve"> </v>
      </c>
      <c r="H8" s="18">
        <f>Vehicles!K56</f>
        <v>0</v>
      </c>
      <c r="J8" s="14" t="str">
        <f>IF(SecuredCreditorOutputs!$B$2&gt;0,SecuredCreditorOutputs!$B$2," ")</f>
        <v xml:space="preserve"> </v>
      </c>
      <c r="K8" s="18">
        <f>NonVehicleSecured!I13</f>
        <v>0</v>
      </c>
    </row>
    <row r="9" spans="4:11" x14ac:dyDescent="0.25">
      <c r="D9" s="14" t="str">
        <f>IF(RealPropertyOutputs!$B$3=0," ",RealPropertyOutputs!$B$3)</f>
        <v xml:space="preserve"> </v>
      </c>
      <c r="E9" s="18">
        <f>RealProperty!P67</f>
        <v>0</v>
      </c>
      <c r="G9" s="14" t="str">
        <f>IF(VehiclesOutput!$B$3=0," ", VehiclesOutput!$B$3)</f>
        <v xml:space="preserve"> </v>
      </c>
      <c r="H9" s="18">
        <f>Vehicles!K57</f>
        <v>0</v>
      </c>
      <c r="J9" s="14" t="str">
        <f>IF(SecuredCreditorOutputs!$B$3&gt;0,SecuredCreditorOutputs!$B$3," ")</f>
        <v xml:space="preserve"> </v>
      </c>
      <c r="K9" s="18">
        <f>NonVehicleSecured!I14</f>
        <v>0</v>
      </c>
    </row>
    <row r="10" spans="4:11" x14ac:dyDescent="0.25">
      <c r="D10" s="14" t="str">
        <f>IF(RealPropertyOutputs!$B$4=0," ",RealPropertyOutputs!$B$4)</f>
        <v xml:space="preserve"> </v>
      </c>
      <c r="E10" s="18">
        <f>RealProperty!P68</f>
        <v>0</v>
      </c>
      <c r="G10" s="14" t="str">
        <f>IF(VehiclesOutput!$B$4=0," ", VehiclesOutput!$B$4)</f>
        <v xml:space="preserve"> </v>
      </c>
      <c r="H10" s="18">
        <f>Vehicles!K58</f>
        <v>0</v>
      </c>
      <c r="J10" s="14" t="str">
        <f>IF(SecuredCreditorOutputs!$B$4&gt;0,SecuredCreditorOutputs!$B$4," ")</f>
        <v xml:space="preserve"> </v>
      </c>
      <c r="K10" s="18">
        <f>NonVehicleSecured!I15</f>
        <v>0</v>
      </c>
    </row>
    <row r="11" spans="4:11" x14ac:dyDescent="0.25">
      <c r="D11" s="14" t="str">
        <f>IF(RealPropertyOutputs!$B$5=0," ",RealPropertyOutputs!$B$5)</f>
        <v xml:space="preserve"> </v>
      </c>
      <c r="E11" s="18">
        <f>RealProperty!P69</f>
        <v>0</v>
      </c>
      <c r="G11" s="14" t="str">
        <f>IF(VehiclesOutput!$B$5=0," ", VehiclesOutput!$B$5)</f>
        <v xml:space="preserve"> </v>
      </c>
      <c r="H11" s="18">
        <f>Vehicles!K59</f>
        <v>0</v>
      </c>
      <c r="J11" s="14" t="str">
        <f>IF(SecuredCreditorOutputs!$B$5&gt;0,SecuredCreditorOutputs!$B$5," ")</f>
        <v xml:space="preserve"> </v>
      </c>
      <c r="K11" s="18">
        <f>NonVehicleSecured!I16</f>
        <v>0</v>
      </c>
    </row>
    <row r="12" spans="4:11" x14ac:dyDescent="0.25">
      <c r="D12" s="14" t="str">
        <f>IF(RealPropertyOutputs!$B$6=0," ",RealPropertyOutputs!$B$6)</f>
        <v xml:space="preserve"> </v>
      </c>
      <c r="E12" s="18">
        <f>RealProperty!P70</f>
        <v>0</v>
      </c>
      <c r="G12" s="14" t="str">
        <f>IF(VehiclesOutput!$B$6=0," ", VehiclesOutput!$B$6)</f>
        <v xml:space="preserve"> </v>
      </c>
      <c r="H12" s="18">
        <f>Vehicles!K60</f>
        <v>0</v>
      </c>
      <c r="J12" s="14" t="str">
        <f>IF(SecuredCreditorOutputs!$B$6&gt;0,SecuredCreditorOutputs!$B$6," ")</f>
        <v xml:space="preserve"> </v>
      </c>
      <c r="K12" s="18">
        <f>NonVehicleSecured!I17</f>
        <v>0</v>
      </c>
    </row>
    <row r="13" spans="4:11" x14ac:dyDescent="0.25">
      <c r="D13" s="14" t="str">
        <f>IF(RealPropertyOutputs!$B$7=0," ",RealPropertyOutputs!$B$7)</f>
        <v xml:space="preserve"> </v>
      </c>
      <c r="E13" s="18">
        <f>RealProperty!P71</f>
        <v>0</v>
      </c>
      <c r="G13" s="14" t="str">
        <f>IF(VehiclesOutput!$B$7=0," ", VehiclesOutput!$B$7)</f>
        <v xml:space="preserve"> </v>
      </c>
      <c r="H13" s="18">
        <f>Vehicles!K61</f>
        <v>0</v>
      </c>
      <c r="J13" s="14" t="str">
        <f>IF(SecuredCreditorOutputs!$B$7&gt;0,SecuredCreditorOutputs!$B$7," ")</f>
        <v xml:space="preserve"> </v>
      </c>
      <c r="K13" s="18">
        <f>NonVehicleSecured!I18</f>
        <v>0</v>
      </c>
    </row>
    <row r="14" spans="4:11" x14ac:dyDescent="0.25">
      <c r="D14" s="14" t="str">
        <f>IF(RealPropertyOutputs!$B$8=0," ",RealPropertyOutputs!$B$8)</f>
        <v xml:space="preserve"> </v>
      </c>
      <c r="E14" s="18">
        <f>RealProperty!P72</f>
        <v>0</v>
      </c>
      <c r="G14" s="14" t="str">
        <f>IF(VehiclesOutput!$B$8=0," ", VehiclesOutput!$B$8)</f>
        <v xml:space="preserve"> </v>
      </c>
      <c r="H14" s="18">
        <f>Vehicles!K62</f>
        <v>0</v>
      </c>
      <c r="J14" s="14" t="str">
        <f>IF(SecuredCreditorOutputs!$B$8&gt;0,SecuredCreditorOutputs!$B$8," ")</f>
        <v xml:space="preserve"> </v>
      </c>
      <c r="K14" s="18">
        <f>NonVehicleSecured!I19</f>
        <v>0</v>
      </c>
    </row>
    <row r="15" spans="4:11" x14ac:dyDescent="0.25">
      <c r="D15" s="14" t="str">
        <f>IF(RealPropertyOutputs!$B$9=0," ",RealPropertyOutputs!$B$9)</f>
        <v xml:space="preserve"> </v>
      </c>
      <c r="E15" s="18">
        <f>RealProperty!P73</f>
        <v>0</v>
      </c>
      <c r="G15" s="14" t="str">
        <f>IF(VehiclesOutput!$B$9=0," ", VehiclesOutput!$B$9)</f>
        <v xml:space="preserve"> </v>
      </c>
      <c r="H15" s="18">
        <f>Vehicles!K63</f>
        <v>0</v>
      </c>
      <c r="J15" s="14" t="str">
        <f>IF(SecuredCreditorOutputs!$B$9&gt;0,SecuredCreditorOutputs!$B$9," ")</f>
        <v xml:space="preserve"> </v>
      </c>
      <c r="K15" s="18">
        <f>NonVehicleSecured!I20</f>
        <v>0</v>
      </c>
    </row>
    <row r="16" spans="4:11" x14ac:dyDescent="0.25">
      <c r="D16" s="14" t="str">
        <f>IF(RealPropertyOutputs!$B$10=0," ",RealPropertyOutputs!$B$10)</f>
        <v xml:space="preserve"> </v>
      </c>
      <c r="E16" s="18">
        <f>RealProperty!P74</f>
        <v>0</v>
      </c>
      <c r="G16" s="14" t="str">
        <f>IF(VehiclesOutput!$B$10=0," ", VehiclesOutput!$B$10)</f>
        <v xml:space="preserve"> </v>
      </c>
      <c r="H16" s="18">
        <f>Vehicles!K64</f>
        <v>0</v>
      </c>
      <c r="J16" s="14" t="str">
        <f>IF(SecuredCreditorOutputs!$B$10&gt;0,SecuredCreditorOutputs!$B$10," ")</f>
        <v xml:space="preserve"> </v>
      </c>
      <c r="K16" s="18">
        <f>NonVehicleSecured!I21</f>
        <v>0</v>
      </c>
    </row>
    <row r="17" spans="4:11" x14ac:dyDescent="0.25">
      <c r="D17" s="14" t="str">
        <f>IF(RealPropertyOutputs!$B$11=0," ",RealPropertyOutputs!$B$11)</f>
        <v xml:space="preserve"> </v>
      </c>
      <c r="E17" s="18">
        <f>RealProperty!P75</f>
        <v>0</v>
      </c>
      <c r="G17" s="14" t="str">
        <f>IF(VehiclesOutput!$B$11=0," ", VehiclesOutput!$B$11)</f>
        <v xml:space="preserve"> </v>
      </c>
      <c r="H17" s="18">
        <f>Vehicles!K65</f>
        <v>0</v>
      </c>
      <c r="J17" s="14" t="str">
        <f>IF(SecuredCreditorOutputs!$B$11&gt;0,SecuredCreditorOutputs!$B$11," ")</f>
        <v xml:space="preserve"> </v>
      </c>
      <c r="K17" s="18">
        <f>NonVehicleSecured!I22</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8" r:id="rId3" name="Button 2">
              <controlPr defaultSize="0" print="0" autoFill="0" autoPict="0" macro="[0]!AnalysisMenu">
                <anchor moveWithCells="1">
                  <from>
                    <xdr:col>1</xdr:col>
                    <xdr:colOff>447675</xdr:colOff>
                    <xdr:row>1</xdr:row>
                    <xdr:rowOff>114300</xdr:rowOff>
                  </from>
                  <to>
                    <xdr:col>3</xdr:col>
                    <xdr:colOff>990600</xdr:colOff>
                    <xdr:row>2</xdr:row>
                    <xdr:rowOff>161925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8:K25"/>
  <sheetViews>
    <sheetView topLeftCell="B1" workbookViewId="0">
      <selection activeCell="K17" sqref="K17"/>
    </sheetView>
  </sheetViews>
  <sheetFormatPr defaultRowHeight="15" x14ac:dyDescent="0.25"/>
  <cols>
    <col min="2" max="2" width="18.140625" customWidth="1"/>
    <col min="3" max="3" width="14.42578125" customWidth="1"/>
    <col min="4" max="4" width="16.28515625" customWidth="1"/>
    <col min="7" max="7" width="18.140625" customWidth="1"/>
  </cols>
  <sheetData>
    <row r="8" spans="2:11" x14ac:dyDescent="0.25">
      <c r="B8" s="1" t="s">
        <v>210</v>
      </c>
    </row>
    <row r="10" spans="2:11" x14ac:dyDescent="0.25">
      <c r="B10">
        <f>TaxesOutput!$A$2</f>
        <v>0</v>
      </c>
      <c r="G10" s="193" t="s">
        <v>208</v>
      </c>
      <c r="H10" s="193"/>
      <c r="J10" s="193" t="s">
        <v>209</v>
      </c>
      <c r="K10" s="193"/>
    </row>
    <row r="12" spans="2:11" x14ac:dyDescent="0.25">
      <c r="C12" s="3" t="s">
        <v>207</v>
      </c>
      <c r="D12" s="3" t="s">
        <v>205</v>
      </c>
      <c r="E12" s="3" t="s">
        <v>206</v>
      </c>
      <c r="G12" s="1" t="s">
        <v>173</v>
      </c>
      <c r="H12">
        <f>TaxesOutput!$K$2</f>
        <v>0</v>
      </c>
      <c r="J12" s="1" t="s">
        <v>168</v>
      </c>
      <c r="K12">
        <f>TaxesOutput!$P$2</f>
        <v>0</v>
      </c>
    </row>
    <row r="13" spans="2:11" x14ac:dyDescent="0.25">
      <c r="G13" s="1" t="s">
        <v>172</v>
      </c>
      <c r="H13">
        <f>TaxesOutput!$L$2</f>
        <v>0</v>
      </c>
      <c r="J13" s="1" t="s">
        <v>167</v>
      </c>
      <c r="K13">
        <f>TaxesOutput!$Q$2</f>
        <v>0</v>
      </c>
    </row>
    <row r="14" spans="2:11" x14ac:dyDescent="0.25">
      <c r="B14" s="1" t="s">
        <v>202</v>
      </c>
      <c r="C14">
        <f>TaxesOutput!$B$2</f>
        <v>0</v>
      </c>
      <c r="D14" s="4">
        <f>TaxesOutput!$C$2</f>
        <v>0</v>
      </c>
      <c r="E14">
        <f>TaxesOutput!$D$2</f>
        <v>0</v>
      </c>
      <c r="G14" s="1" t="s">
        <v>171</v>
      </c>
      <c r="H14">
        <f>TaxesOutput!$M$2</f>
        <v>0</v>
      </c>
      <c r="J14" s="1" t="s">
        <v>166</v>
      </c>
      <c r="K14">
        <f>TaxesOutput!$R$2</f>
        <v>0</v>
      </c>
    </row>
    <row r="15" spans="2:11" x14ac:dyDescent="0.25">
      <c r="B15" s="1"/>
      <c r="D15" s="4"/>
      <c r="G15" s="1" t="s">
        <v>170</v>
      </c>
      <c r="H15">
        <f>TaxesOutput!$N$2</f>
        <v>0</v>
      </c>
      <c r="J15" s="1" t="s">
        <v>165</v>
      </c>
      <c r="K15">
        <f>TaxesOutput!$S$2</f>
        <v>0</v>
      </c>
    </row>
    <row r="16" spans="2:11" x14ac:dyDescent="0.25">
      <c r="B16" s="1" t="s">
        <v>203</v>
      </c>
      <c r="C16">
        <f>TaxesOutput!$E$2</f>
        <v>0</v>
      </c>
      <c r="D16" s="4">
        <f>TaxesOutput!$F$2</f>
        <v>0</v>
      </c>
      <c r="E16">
        <f>TaxesOutput!$G$2</f>
        <v>0</v>
      </c>
      <c r="G16" s="1" t="s">
        <v>169</v>
      </c>
      <c r="H16">
        <f>TaxesOutput!$O$2</f>
        <v>0</v>
      </c>
      <c r="J16" s="1" t="s">
        <v>164</v>
      </c>
      <c r="K16">
        <f>TaxesOutput!$T$2</f>
        <v>0</v>
      </c>
    </row>
    <row r="17" spans="2:11" x14ac:dyDescent="0.25">
      <c r="B17" s="1"/>
      <c r="D17" s="4"/>
      <c r="J17" s="1" t="s">
        <v>163</v>
      </c>
      <c r="K17">
        <f>TaxesOutput!$U$2</f>
        <v>0</v>
      </c>
    </row>
    <row r="18" spans="2:11" x14ac:dyDescent="0.25">
      <c r="B18" s="1" t="s">
        <v>204</v>
      </c>
      <c r="C18">
        <f>TaxesOutput!$H$2</f>
        <v>0</v>
      </c>
      <c r="D18" s="4">
        <f>TaxesOutput!$I$2</f>
        <v>0</v>
      </c>
      <c r="E18">
        <f>TaxesOutput!$J$2</f>
        <v>0</v>
      </c>
      <c r="J18" s="1" t="s">
        <v>162</v>
      </c>
      <c r="K18">
        <f>TaxesOutput!$V$2</f>
        <v>0</v>
      </c>
    </row>
    <row r="19" spans="2:11" x14ac:dyDescent="0.25">
      <c r="J19" s="1" t="s">
        <v>161</v>
      </c>
      <c r="K19">
        <f>TaxesOutput!$W$2</f>
        <v>0</v>
      </c>
    </row>
    <row r="20" spans="2:11" x14ac:dyDescent="0.25">
      <c r="J20" s="1" t="s">
        <v>160</v>
      </c>
      <c r="K20">
        <f>TaxesOutput!$X$2</f>
        <v>0</v>
      </c>
    </row>
    <row r="21" spans="2:11" x14ac:dyDescent="0.25">
      <c r="J21" s="1" t="s">
        <v>159</v>
      </c>
      <c r="K21">
        <f>TaxesOutput!$Y$2</f>
        <v>0</v>
      </c>
    </row>
    <row r="22" spans="2:11" x14ac:dyDescent="0.25">
      <c r="J22" s="1" t="s">
        <v>158</v>
      </c>
      <c r="K22">
        <f>TaxesOutput!$Z$2</f>
        <v>0</v>
      </c>
    </row>
    <row r="23" spans="2:11" x14ac:dyDescent="0.25">
      <c r="J23" s="1" t="s">
        <v>157</v>
      </c>
      <c r="K23">
        <f>TaxesOutput!$AA$2</f>
        <v>0</v>
      </c>
    </row>
    <row r="24" spans="2:11" x14ac:dyDescent="0.25">
      <c r="J24" s="1" t="s">
        <v>156</v>
      </c>
      <c r="K24">
        <f>TaxesOutput!$AB$2</f>
        <v>0</v>
      </c>
    </row>
    <row r="25" spans="2:11" x14ac:dyDescent="0.25">
      <c r="J25" s="1" t="s">
        <v>155</v>
      </c>
      <c r="K25">
        <f>TaxesOutput!$AC$2</f>
        <v>0</v>
      </c>
    </row>
  </sheetData>
  <mergeCells count="2">
    <mergeCell ref="J10:K10"/>
    <mergeCell ref="G10:H1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AnalysisMenu">
                <anchor moveWithCells="1">
                  <from>
                    <xdr:col>0</xdr:col>
                    <xdr:colOff>447675</xdr:colOff>
                    <xdr:row>0</xdr:row>
                    <xdr:rowOff>114300</xdr:rowOff>
                  </from>
                  <to>
                    <xdr:col>2</xdr:col>
                    <xdr:colOff>390525</xdr:colOff>
                    <xdr:row>1</xdr:row>
                    <xdr:rowOff>161925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B6:D19"/>
  <sheetViews>
    <sheetView workbookViewId="0">
      <selection activeCell="B19" sqref="B19"/>
    </sheetView>
  </sheetViews>
  <sheetFormatPr defaultRowHeight="15" x14ac:dyDescent="0.25"/>
  <cols>
    <col min="2" max="2" width="20" customWidth="1"/>
    <col min="3" max="3" width="30.42578125" customWidth="1"/>
    <col min="4" max="4" width="24" customWidth="1"/>
    <col min="9" max="9" width="9.7109375" bestFit="1" customWidth="1"/>
  </cols>
  <sheetData>
    <row r="6" spans="2:4" x14ac:dyDescent="0.25">
      <c r="B6" s="1" t="s">
        <v>210</v>
      </c>
    </row>
    <row r="7" spans="2:4" x14ac:dyDescent="0.25">
      <c r="B7">
        <f>EmergenciesOutput!$A$2</f>
        <v>0</v>
      </c>
    </row>
    <row r="9" spans="2:4" x14ac:dyDescent="0.25">
      <c r="B9" s="3" t="s">
        <v>38</v>
      </c>
      <c r="C9" s="3" t="s">
        <v>37</v>
      </c>
      <c r="D9" s="3" t="s">
        <v>36</v>
      </c>
    </row>
    <row r="10" spans="2:4" x14ac:dyDescent="0.25">
      <c r="B10" s="2">
        <f>EmergenciesOutput!$B$2</f>
        <v>0</v>
      </c>
      <c r="C10" s="5">
        <f>EmergenciesOutput!$C$2</f>
        <v>0</v>
      </c>
      <c r="D10" s="6">
        <f>EmergenciesOutput!$D$2</f>
        <v>0</v>
      </c>
    </row>
    <row r="12" spans="2:4" x14ac:dyDescent="0.25">
      <c r="B12" s="3" t="s">
        <v>35</v>
      </c>
      <c r="C12" s="3" t="s">
        <v>34</v>
      </c>
    </row>
    <row r="13" spans="2:4" x14ac:dyDescent="0.25">
      <c r="B13" s="2">
        <f>EmergenciesOutput!$E$2</f>
        <v>0</v>
      </c>
      <c r="C13" s="2">
        <f>EmergenciesOutput!$F$2</f>
        <v>0</v>
      </c>
    </row>
    <row r="14" spans="2:4" x14ac:dyDescent="0.25">
      <c r="B14" s="2"/>
      <c r="C14" s="2"/>
    </row>
    <row r="15" spans="2:4" x14ac:dyDescent="0.25">
      <c r="B15" s="3" t="s">
        <v>33</v>
      </c>
      <c r="C15" s="3" t="s">
        <v>32</v>
      </c>
    </row>
    <row r="16" spans="2:4" x14ac:dyDescent="0.25">
      <c r="B16" s="2">
        <f>EmergenciesOutput!$G$2</f>
        <v>0</v>
      </c>
      <c r="C16" s="5">
        <f>EmergenciesOutput!$H$2</f>
        <v>0</v>
      </c>
    </row>
    <row r="17" spans="2:3" x14ac:dyDescent="0.25">
      <c r="B17" s="2"/>
      <c r="C17" s="2"/>
    </row>
    <row r="18" spans="2:3" x14ac:dyDescent="0.25">
      <c r="B18" s="3" t="s">
        <v>31</v>
      </c>
      <c r="C18" s="2"/>
    </row>
    <row r="19" spans="2:3" x14ac:dyDescent="0.25">
      <c r="B19" s="2">
        <f>EmergenciesOutput!$I$2</f>
        <v>0</v>
      </c>
      <c r="C19" s="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2" r:id="rId3" name="Button 2">
              <controlPr defaultSize="0" print="0" autoFill="0" autoPict="0" macro="[0]!AnalysisMenu">
                <anchor moveWithCells="1">
                  <from>
                    <xdr:col>0</xdr:col>
                    <xdr:colOff>447675</xdr:colOff>
                    <xdr:row>1</xdr:row>
                    <xdr:rowOff>114300</xdr:rowOff>
                  </from>
                  <to>
                    <xdr:col>2</xdr:col>
                    <xdr:colOff>266700</xdr:colOff>
                    <xdr:row>2</xdr:row>
                    <xdr:rowOff>161925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C6:D17"/>
  <sheetViews>
    <sheetView workbookViewId="0">
      <selection activeCell="D13" sqref="D13"/>
    </sheetView>
  </sheetViews>
  <sheetFormatPr defaultRowHeight="15" x14ac:dyDescent="0.25"/>
  <cols>
    <col min="3" max="3" width="25.28515625" customWidth="1"/>
  </cols>
  <sheetData>
    <row r="6" spans="3:4" x14ac:dyDescent="0.25">
      <c r="C6" s="1" t="s">
        <v>210</v>
      </c>
    </row>
    <row r="7" spans="3:4" x14ac:dyDescent="0.25">
      <c r="C7">
        <f>DebtSummaryOutput!$A$2</f>
        <v>0</v>
      </c>
    </row>
    <row r="9" spans="3:4" x14ac:dyDescent="0.25">
      <c r="C9" s="1" t="s">
        <v>30</v>
      </c>
      <c r="D9" s="4">
        <f>DebtSummaryOutput!$B$2</f>
        <v>0</v>
      </c>
    </row>
    <row r="10" spans="3:4" x14ac:dyDescent="0.25">
      <c r="C10" s="1" t="s">
        <v>29</v>
      </c>
      <c r="D10" s="4">
        <f>DebtSummaryOutput!$C$2</f>
        <v>0</v>
      </c>
    </row>
    <row r="11" spans="3:4" x14ac:dyDescent="0.25">
      <c r="C11" s="1" t="s">
        <v>28</v>
      </c>
      <c r="D11" s="4">
        <f>DebtSummaryOutput!$D$2</f>
        <v>0</v>
      </c>
    </row>
    <row r="12" spans="3:4" x14ac:dyDescent="0.25">
      <c r="C12" s="1" t="s">
        <v>27</v>
      </c>
      <c r="D12" s="4">
        <f>DebtSummaryOutput!$E$2</f>
        <v>0</v>
      </c>
    </row>
    <row r="13" spans="3:4" x14ac:dyDescent="0.25">
      <c r="C13" s="1" t="s">
        <v>26</v>
      </c>
      <c r="D13" s="4">
        <f>DebtSummaryOutput!$F$2</f>
        <v>0</v>
      </c>
    </row>
    <row r="14" spans="3:4" x14ac:dyDescent="0.25">
      <c r="C14" s="1" t="s">
        <v>25</v>
      </c>
      <c r="D14" s="4">
        <f>DebtSummaryOutput!$G$2</f>
        <v>0</v>
      </c>
    </row>
    <row r="15" spans="3:4" x14ac:dyDescent="0.25">
      <c r="C15" s="1" t="s">
        <v>24</v>
      </c>
      <c r="D15" s="4">
        <f>DebtSummaryOutput!$H$2</f>
        <v>0</v>
      </c>
    </row>
    <row r="16" spans="3:4" x14ac:dyDescent="0.25">
      <c r="C16" s="1" t="s">
        <v>23</v>
      </c>
      <c r="D16" s="4">
        <f>DebtSummaryOutput!$I$2</f>
        <v>0</v>
      </c>
    </row>
    <row r="17" spans="3:4" x14ac:dyDescent="0.25">
      <c r="C17" s="1" t="s">
        <v>22</v>
      </c>
      <c r="D17" s="4">
        <f>DebtSummaryOutput!$J$2</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50" r:id="rId3" name="Button 2">
              <controlPr defaultSize="0" print="0" autoFill="0" autoPict="0" macro="[0]!AnalysisMenu">
                <anchor moveWithCells="1">
                  <from>
                    <xdr:col>1</xdr:col>
                    <xdr:colOff>447675</xdr:colOff>
                    <xdr:row>1</xdr:row>
                    <xdr:rowOff>114300</xdr:rowOff>
                  </from>
                  <to>
                    <xdr:col>2</xdr:col>
                    <xdr:colOff>1600200</xdr:colOff>
                    <xdr:row>2</xdr:row>
                    <xdr:rowOff>161925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6:C11"/>
  <sheetViews>
    <sheetView workbookViewId="0">
      <selection activeCell="B3" sqref="B3"/>
    </sheetView>
  </sheetViews>
  <sheetFormatPr defaultRowHeight="15" x14ac:dyDescent="0.25"/>
  <cols>
    <col min="2" max="2" width="29.85546875" customWidth="1"/>
    <col min="3" max="3" width="29.42578125" customWidth="1"/>
  </cols>
  <sheetData>
    <row r="6" spans="2:3" x14ac:dyDescent="0.25">
      <c r="B6" s="1" t="s">
        <v>210</v>
      </c>
      <c r="C6">
        <f>MiscOutput!$A$2</f>
        <v>0</v>
      </c>
    </row>
    <row r="7" spans="2:3" x14ac:dyDescent="0.25">
      <c r="B7" s="1"/>
    </row>
    <row r="8" spans="2:3" x14ac:dyDescent="0.25">
      <c r="B8" s="1" t="s">
        <v>111</v>
      </c>
      <c r="C8">
        <f>MiscOutput!$B$2</f>
        <v>0</v>
      </c>
    </row>
    <row r="9" spans="2:3" x14ac:dyDescent="0.25">
      <c r="B9" s="1" t="s">
        <v>110</v>
      </c>
      <c r="C9">
        <f>MiscOutput!$C$2</f>
        <v>0</v>
      </c>
    </row>
    <row r="10" spans="2:3" x14ac:dyDescent="0.25">
      <c r="B10" s="1" t="s">
        <v>109</v>
      </c>
      <c r="C10">
        <f>MiscOutput!$D$2</f>
        <v>0</v>
      </c>
    </row>
    <row r="11" spans="2:3" x14ac:dyDescent="0.25">
      <c r="B11" s="1" t="s">
        <v>108</v>
      </c>
      <c r="C11">
        <f>MiscOutput!$E$2</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274" r:id="rId3" name="Button 2">
              <controlPr defaultSize="0" print="0" autoFill="0" autoPict="0" macro="[0]!AnalysisMenu">
                <anchor moveWithCells="1">
                  <from>
                    <xdr:col>0</xdr:col>
                    <xdr:colOff>447675</xdr:colOff>
                    <xdr:row>1</xdr:row>
                    <xdr:rowOff>114300</xdr:rowOff>
                  </from>
                  <to>
                    <xdr:col>1</xdr:col>
                    <xdr:colOff>1600200</xdr:colOff>
                    <xdr:row>2</xdr:row>
                    <xdr:rowOff>161925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C4:K35"/>
  <sheetViews>
    <sheetView workbookViewId="0">
      <selection activeCell="E10" sqref="E10"/>
    </sheetView>
  </sheetViews>
  <sheetFormatPr defaultRowHeight="15" x14ac:dyDescent="0.25"/>
  <cols>
    <col min="3" max="3" width="27.28515625" customWidth="1"/>
    <col min="4" max="4" width="13.7109375" customWidth="1"/>
    <col min="5" max="5" width="14" customWidth="1"/>
    <col min="7" max="7" width="34.28515625" customWidth="1"/>
    <col min="8" max="8" width="9.5703125" bestFit="1" customWidth="1"/>
    <col min="10" max="10" width="10.85546875" customWidth="1"/>
    <col min="11" max="11" width="22.85546875" customWidth="1"/>
  </cols>
  <sheetData>
    <row r="4" spans="3:11" x14ac:dyDescent="0.25">
      <c r="G4" s="194" t="s">
        <v>302</v>
      </c>
      <c r="H4" s="194"/>
      <c r="I4" s="194"/>
      <c r="J4" s="194"/>
      <c r="K4" s="4"/>
    </row>
    <row r="5" spans="3:11" x14ac:dyDescent="0.25">
      <c r="G5" s="4"/>
      <c r="H5" s="4"/>
      <c r="I5" s="4"/>
      <c r="J5" s="4"/>
      <c r="K5" s="4"/>
    </row>
    <row r="6" spans="3:11" x14ac:dyDescent="0.25">
      <c r="C6" s="1" t="s">
        <v>210</v>
      </c>
      <c r="G6" s="4"/>
      <c r="H6" s="24" t="s">
        <v>217</v>
      </c>
      <c r="I6" s="24" t="s">
        <v>218</v>
      </c>
      <c r="J6" s="24" t="s">
        <v>303</v>
      </c>
      <c r="K6" s="34" t="s">
        <v>322</v>
      </c>
    </row>
    <row r="7" spans="3:11" x14ac:dyDescent="0.25">
      <c r="G7" s="4"/>
      <c r="H7" s="4"/>
      <c r="I7" s="4"/>
      <c r="J7" s="4"/>
      <c r="K7" s="4"/>
    </row>
    <row r="8" spans="3:11" x14ac:dyDescent="0.25">
      <c r="C8">
        <f>IncomeOutputs!$A$2</f>
        <v>0</v>
      </c>
      <c r="G8" s="25" t="s">
        <v>304</v>
      </c>
      <c r="H8" s="26">
        <f>IF(D13="Weekly",4.3,IF(D13="Bi-Weekly",2.1,IF(D13="Semi-Monthly",2,IF(D13="Monthly",1,0))))</f>
        <v>0</v>
      </c>
      <c r="I8" s="26">
        <f>IF(E13="Weekly",4.3,IF(E13="Bi-Weekly",2.1,IF(E13="Semi-Monthly",2,IF(E13="Monthly",1,0))))</f>
        <v>0</v>
      </c>
      <c r="J8" s="4"/>
      <c r="K8" s="4"/>
    </row>
    <row r="9" spans="3:11" x14ac:dyDescent="0.25">
      <c r="G9" s="4"/>
      <c r="H9" s="4"/>
      <c r="I9" s="4"/>
      <c r="J9" s="4"/>
      <c r="K9" s="4"/>
    </row>
    <row r="10" spans="3:11" x14ac:dyDescent="0.25">
      <c r="D10" s="3" t="s">
        <v>217</v>
      </c>
      <c r="E10" s="3" t="s">
        <v>218</v>
      </c>
      <c r="G10" s="27" t="s">
        <v>305</v>
      </c>
      <c r="H10" s="28">
        <f>D12*$H$8</f>
        <v>0</v>
      </c>
      <c r="I10" s="28">
        <f>IF(E12*$I$8&gt;0,E12*$I$8,0)</f>
        <v>0</v>
      </c>
      <c r="J10" s="28">
        <f>H10+I10</f>
        <v>0</v>
      </c>
      <c r="K10" s="28">
        <f>J10</f>
        <v>0</v>
      </c>
    </row>
    <row r="11" spans="3:11" x14ac:dyDescent="0.25">
      <c r="G11" s="27" t="s">
        <v>306</v>
      </c>
      <c r="H11" s="28">
        <f>D14*$H$8</f>
        <v>0</v>
      </c>
      <c r="I11" s="28">
        <f>IF(E14*$I$8&gt;0,E14*$I$8,0)</f>
        <v>0</v>
      </c>
      <c r="J11" s="28">
        <f t="shared" ref="J11:J23" si="0">H11+I11</f>
        <v>0</v>
      </c>
      <c r="K11" s="28">
        <f>$S$438</f>
        <v>0</v>
      </c>
    </row>
    <row r="12" spans="3:11" x14ac:dyDescent="0.25">
      <c r="C12" s="1" t="s">
        <v>102</v>
      </c>
      <c r="D12" s="4">
        <f>IncomeOutputs!$B$2</f>
        <v>0</v>
      </c>
      <c r="E12" s="4">
        <f>IncomeOutputs!$W$2</f>
        <v>0</v>
      </c>
      <c r="G12" s="27" t="s">
        <v>307</v>
      </c>
      <c r="H12" s="28">
        <f>-D15*$H$8</f>
        <v>0</v>
      </c>
      <c r="I12" s="28">
        <f>-E15*$I$8</f>
        <v>0</v>
      </c>
      <c r="J12" s="28">
        <f t="shared" si="0"/>
        <v>0</v>
      </c>
      <c r="K12" s="4"/>
    </row>
    <row r="13" spans="3:11" x14ac:dyDescent="0.25">
      <c r="C13" s="1" t="s">
        <v>101</v>
      </c>
      <c r="D13">
        <f>IncomeOutputs!$C$2</f>
        <v>0</v>
      </c>
      <c r="E13">
        <f>IncomeOutputs!$X$2</f>
        <v>0</v>
      </c>
      <c r="G13" s="27" t="s">
        <v>308</v>
      </c>
      <c r="H13" s="28">
        <f>-D16*$H$8</f>
        <v>0</v>
      </c>
      <c r="I13" s="28">
        <f>-E16*$I$8</f>
        <v>0</v>
      </c>
      <c r="J13" s="28">
        <f t="shared" si="0"/>
        <v>0</v>
      </c>
      <c r="K13" s="4"/>
    </row>
    <row r="14" spans="3:11" x14ac:dyDescent="0.25">
      <c r="C14" s="1" t="s">
        <v>100</v>
      </c>
      <c r="D14" s="4">
        <f>IncomeOutputs!$D$2</f>
        <v>0</v>
      </c>
      <c r="E14" s="4">
        <f>IncomeOutputs!$Y$2</f>
        <v>0</v>
      </c>
      <c r="G14" s="27" t="s">
        <v>309</v>
      </c>
      <c r="H14" s="28">
        <f>-D17*$H$8</f>
        <v>0</v>
      </c>
      <c r="I14" s="28">
        <f>-E17*$I$8</f>
        <v>0</v>
      </c>
      <c r="J14" s="28">
        <f t="shared" si="0"/>
        <v>0</v>
      </c>
      <c r="K14" s="4"/>
    </row>
    <row r="15" spans="3:11" x14ac:dyDescent="0.25">
      <c r="C15" s="1" t="s">
        <v>99</v>
      </c>
      <c r="D15" s="4">
        <f>IncomeOutputs!$E$2</f>
        <v>0</v>
      </c>
      <c r="E15" s="4">
        <f>IncomeOutputs!$Z$2</f>
        <v>0</v>
      </c>
      <c r="G15" s="27" t="s">
        <v>310</v>
      </c>
      <c r="H15" s="28">
        <f>-D18*$H$8</f>
        <v>0</v>
      </c>
      <c r="I15" s="28">
        <f>-E18*$I$8</f>
        <v>0</v>
      </c>
      <c r="J15" s="28">
        <f t="shared" si="0"/>
        <v>0</v>
      </c>
      <c r="K15" s="4"/>
    </row>
    <row r="16" spans="3:11" x14ac:dyDescent="0.25">
      <c r="C16" s="1" t="s">
        <v>98</v>
      </c>
      <c r="D16" s="4">
        <f>IncomeOutputs!$F$2</f>
        <v>0</v>
      </c>
      <c r="E16" s="4">
        <f>IncomeOutputs!$AA$2</f>
        <v>0</v>
      </c>
      <c r="G16" s="27" t="s">
        <v>311</v>
      </c>
      <c r="H16" s="28">
        <f>D20</f>
        <v>0</v>
      </c>
      <c r="I16" s="28">
        <f>IF(E20&gt;0,E20,0)</f>
        <v>0</v>
      </c>
      <c r="J16" s="28">
        <f t="shared" si="0"/>
        <v>0</v>
      </c>
      <c r="K16" s="28">
        <f t="shared" ref="K16:K19" si="1">J16</f>
        <v>0</v>
      </c>
    </row>
    <row r="17" spans="3:11" x14ac:dyDescent="0.25">
      <c r="C17" s="1" t="s">
        <v>97</v>
      </c>
      <c r="D17" s="4">
        <f>IncomeOutputs!$G$2</f>
        <v>0</v>
      </c>
      <c r="E17" s="4">
        <f>IncomeOutputs!$AB$2</f>
        <v>0</v>
      </c>
      <c r="G17" s="27" t="s">
        <v>312</v>
      </c>
      <c r="H17" s="28">
        <f t="shared" ref="H17" si="2">D21</f>
        <v>0</v>
      </c>
      <c r="I17" s="28">
        <f t="shared" ref="I17:I21" si="3">IF(E21&gt;0,E21,0)</f>
        <v>0</v>
      </c>
      <c r="J17" s="28">
        <f t="shared" si="0"/>
        <v>0</v>
      </c>
      <c r="K17" s="28">
        <f t="shared" si="1"/>
        <v>0</v>
      </c>
    </row>
    <row r="18" spans="3:11" x14ac:dyDescent="0.25">
      <c r="C18" s="1" t="s">
        <v>96</v>
      </c>
      <c r="D18" s="4">
        <f>IncomeOutputs!$H$2</f>
        <v>0</v>
      </c>
      <c r="E18" s="4">
        <f>IncomeOutputs!$AC$2</f>
        <v>0</v>
      </c>
      <c r="G18" s="27" t="s">
        <v>313</v>
      </c>
      <c r="H18" s="28">
        <f t="shared" ref="H18" si="4">D22</f>
        <v>0</v>
      </c>
      <c r="I18" s="28">
        <f t="shared" si="3"/>
        <v>0</v>
      </c>
      <c r="J18" s="28">
        <f t="shared" si="0"/>
        <v>0</v>
      </c>
      <c r="K18" s="28">
        <f t="shared" si="1"/>
        <v>0</v>
      </c>
    </row>
    <row r="19" spans="3:11" x14ac:dyDescent="0.25">
      <c r="C19" s="1" t="s">
        <v>95</v>
      </c>
      <c r="D19" s="4">
        <f>IncomeOutputs!$I$2</f>
        <v>0</v>
      </c>
      <c r="E19" s="4">
        <f>IncomeOutputs!$AD$2</f>
        <v>0</v>
      </c>
      <c r="G19" s="27" t="s">
        <v>314</v>
      </c>
      <c r="H19" s="28">
        <f t="shared" ref="H19" si="5">D23</f>
        <v>0</v>
      </c>
      <c r="I19" s="28">
        <f t="shared" si="3"/>
        <v>0</v>
      </c>
      <c r="J19" s="28">
        <f t="shared" si="0"/>
        <v>0</v>
      </c>
      <c r="K19" s="28">
        <f t="shared" si="1"/>
        <v>0</v>
      </c>
    </row>
    <row r="20" spans="3:11" x14ac:dyDescent="0.25">
      <c r="C20" s="1" t="s">
        <v>94</v>
      </c>
      <c r="D20" s="4">
        <f>IncomeOutputs!$J$2</f>
        <v>0</v>
      </c>
      <c r="E20" s="4">
        <f>IncomeOutputs!$AE$2</f>
        <v>0</v>
      </c>
      <c r="G20" s="27" t="s">
        <v>321</v>
      </c>
      <c r="H20" s="28">
        <f t="shared" ref="H20" si="6">D24</f>
        <v>0</v>
      </c>
      <c r="I20" s="28">
        <f t="shared" si="3"/>
        <v>0</v>
      </c>
      <c r="J20" s="28">
        <f t="shared" si="0"/>
        <v>0</v>
      </c>
      <c r="K20" s="35"/>
    </row>
    <row r="21" spans="3:11" x14ac:dyDescent="0.25">
      <c r="C21" s="1" t="s">
        <v>93</v>
      </c>
      <c r="D21" s="4">
        <f>IncomeOutputs!$K$2</f>
        <v>0</v>
      </c>
      <c r="E21" s="4">
        <f>IncomeOutputs!$AF$2</f>
        <v>0</v>
      </c>
      <c r="G21" s="27" t="s">
        <v>320</v>
      </c>
      <c r="H21" s="28">
        <f t="shared" ref="H21" si="7">D25</f>
        <v>0</v>
      </c>
      <c r="I21" s="28">
        <f t="shared" si="3"/>
        <v>0</v>
      </c>
      <c r="J21" s="28">
        <f t="shared" si="0"/>
        <v>0</v>
      </c>
      <c r="K21" s="28">
        <f>J21</f>
        <v>0</v>
      </c>
    </row>
    <row r="22" spans="3:11" x14ac:dyDescent="0.25">
      <c r="C22" s="1" t="s">
        <v>92</v>
      </c>
      <c r="D22" s="4">
        <f>IncomeOutputs!$L$2</f>
        <v>0</v>
      </c>
      <c r="E22" s="4">
        <f>IncomeOutputs!$AG$2</f>
        <v>0</v>
      </c>
      <c r="G22" s="27" t="s">
        <v>315</v>
      </c>
      <c r="H22" s="28">
        <f>D27</f>
        <v>0</v>
      </c>
      <c r="I22" s="28">
        <f>IF(E27&gt;0,E27,0)</f>
        <v>0</v>
      </c>
      <c r="J22" s="28">
        <f t="shared" si="0"/>
        <v>0</v>
      </c>
      <c r="K22" s="28">
        <f>J22</f>
        <v>0</v>
      </c>
    </row>
    <row r="23" spans="3:11" x14ac:dyDescent="0.25">
      <c r="C23" s="1" t="s">
        <v>91</v>
      </c>
      <c r="D23" s="4">
        <f>IncomeOutputs!$M$2</f>
        <v>0</v>
      </c>
      <c r="E23" s="4">
        <f>IncomeOutputs!$AH$2</f>
        <v>0</v>
      </c>
      <c r="G23" s="27" t="s">
        <v>316</v>
      </c>
      <c r="H23" s="28">
        <f>D28</f>
        <v>0</v>
      </c>
      <c r="I23" s="28">
        <f>IF(E28&gt;0,E28,0)</f>
        <v>0</v>
      </c>
      <c r="J23" s="28">
        <f t="shared" si="0"/>
        <v>0</v>
      </c>
      <c r="K23" s="28">
        <f>J23</f>
        <v>0</v>
      </c>
    </row>
    <row r="24" spans="3:11" x14ac:dyDescent="0.25">
      <c r="C24" s="1" t="s">
        <v>90</v>
      </c>
      <c r="D24" s="4">
        <f>IncomeOutputs!$N$2</f>
        <v>0</v>
      </c>
      <c r="E24" s="4">
        <f>IncomeOutputs!$AI$2</f>
        <v>0</v>
      </c>
      <c r="G24" s="27"/>
      <c r="H24" s="4"/>
      <c r="I24" s="4"/>
      <c r="J24" s="4"/>
      <c r="K24" s="4"/>
    </row>
    <row r="25" spans="3:11" x14ac:dyDescent="0.25">
      <c r="C25" s="1" t="s">
        <v>89</v>
      </c>
      <c r="D25" s="4">
        <f>IncomeOutputs!$O$2</f>
        <v>0</v>
      </c>
      <c r="E25" s="4">
        <f>IncomeOutputs!$AJ$2</f>
        <v>0</v>
      </c>
      <c r="G25" s="29" t="s">
        <v>303</v>
      </c>
      <c r="H25" s="28">
        <f>SUM(H10:H23)</f>
        <v>0</v>
      </c>
      <c r="I25" s="28">
        <f>SUM(I10:I23)</f>
        <v>0</v>
      </c>
      <c r="J25" s="28">
        <f>SUM(J10:J23)</f>
        <v>0</v>
      </c>
      <c r="K25" s="28">
        <f>SUM(K10:K23)</f>
        <v>0</v>
      </c>
    </row>
    <row r="26" spans="3:11" x14ac:dyDescent="0.25">
      <c r="C26" s="1" t="s">
        <v>88</v>
      </c>
      <c r="D26" s="4">
        <f>IncomeOutputs!$P$2</f>
        <v>0</v>
      </c>
      <c r="E26" s="4">
        <f>IncomeOutputs!$AK$2</f>
        <v>0</v>
      </c>
      <c r="G26" s="4"/>
      <c r="H26" s="4"/>
      <c r="I26" s="4"/>
      <c r="J26" s="4"/>
      <c r="K26" s="4"/>
    </row>
    <row r="27" spans="3:11" x14ac:dyDescent="0.25">
      <c r="C27" s="1" t="s">
        <v>87</v>
      </c>
      <c r="D27" s="4">
        <f>IncomeOutputs!$Q$2</f>
        <v>0</v>
      </c>
      <c r="E27" s="4">
        <f>IncomeOutputs!$AL$2</f>
        <v>0</v>
      </c>
      <c r="G27" s="4"/>
      <c r="H27" s="4"/>
      <c r="I27" s="4"/>
      <c r="J27" s="4"/>
      <c r="K27" s="30" t="s">
        <v>317</v>
      </c>
    </row>
    <row r="28" spans="3:11" x14ac:dyDescent="0.25">
      <c r="C28" s="1" t="s">
        <v>86</v>
      </c>
      <c r="D28" s="4">
        <f>IncomeOutputs!$R$2</f>
        <v>0</v>
      </c>
      <c r="E28" s="4">
        <f>IncomeOutputs!$AM$2</f>
        <v>0</v>
      </c>
      <c r="G28" s="4"/>
      <c r="H28" s="4"/>
      <c r="I28" s="4"/>
      <c r="J28" s="4"/>
      <c r="K28" s="4"/>
    </row>
    <row r="29" spans="3:11" x14ac:dyDescent="0.25">
      <c r="C29" s="1" t="s">
        <v>85</v>
      </c>
      <c r="D29">
        <f>IncomeOutputs!$T$2</f>
        <v>0</v>
      </c>
      <c r="E29">
        <f>IncomeOutputs!$AO$2</f>
        <v>0</v>
      </c>
      <c r="G29" s="4"/>
      <c r="H29" s="4"/>
      <c r="I29" s="25" t="s">
        <v>318</v>
      </c>
      <c r="J29" s="4"/>
      <c r="K29" s="28">
        <f>K25*12-(12*K20)</f>
        <v>0</v>
      </c>
    </row>
    <row r="30" spans="3:11" x14ac:dyDescent="0.25">
      <c r="C30" s="1" t="s">
        <v>84</v>
      </c>
      <c r="D30">
        <f>IncomeOutputs!$U$2</f>
        <v>0</v>
      </c>
      <c r="E30">
        <f>IncomeOutputs!$AP$2</f>
        <v>0</v>
      </c>
      <c r="G30" s="4"/>
      <c r="H30" s="4"/>
      <c r="I30" s="4"/>
      <c r="J30" s="4"/>
      <c r="K30" s="4"/>
    </row>
    <row r="31" spans="3:11" x14ac:dyDescent="0.25">
      <c r="C31" s="1" t="s">
        <v>83</v>
      </c>
      <c r="D31">
        <f>IncomeOutputs!$V$2</f>
        <v>0</v>
      </c>
      <c r="G31" s="4"/>
      <c r="H31" s="4"/>
      <c r="I31" s="25" t="s">
        <v>319</v>
      </c>
      <c r="J31" s="4"/>
      <c r="K31" s="31">
        <f>K25-K20</f>
        <v>0</v>
      </c>
    </row>
    <row r="32" spans="3:11" x14ac:dyDescent="0.25">
      <c r="C32" s="1" t="s">
        <v>502</v>
      </c>
      <c r="D32" s="14">
        <f>JohnsInput!$B$13</f>
        <v>0</v>
      </c>
    </row>
    <row r="33" spans="3:11" x14ac:dyDescent="0.25">
      <c r="C33" s="1" t="s">
        <v>346</v>
      </c>
      <c r="D33" s="14">
        <f>D31-D32</f>
        <v>0</v>
      </c>
      <c r="I33" s="1" t="s">
        <v>323</v>
      </c>
      <c r="K33" s="36">
        <f>J25</f>
        <v>0</v>
      </c>
    </row>
    <row r="35" spans="3:11" x14ac:dyDescent="0.25">
      <c r="I35" s="1" t="s">
        <v>827</v>
      </c>
      <c r="K35" s="36">
        <f>K33*12</f>
        <v>0</v>
      </c>
    </row>
  </sheetData>
  <mergeCells count="1">
    <mergeCell ref="G4:J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AnalysisMenu">
                <anchor moveWithCells="1">
                  <from>
                    <xdr:col>0</xdr:col>
                    <xdr:colOff>447675</xdr:colOff>
                    <xdr:row>1</xdr:row>
                    <xdr:rowOff>114300</xdr:rowOff>
                  </from>
                  <to>
                    <xdr:col>2</xdr:col>
                    <xdr:colOff>990600</xdr:colOff>
                    <xdr:row>2</xdr:row>
                    <xdr:rowOff>161925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C8:I41"/>
  <sheetViews>
    <sheetView workbookViewId="0">
      <selection activeCell="D37" sqref="D37:D40"/>
    </sheetView>
  </sheetViews>
  <sheetFormatPr defaultRowHeight="15" x14ac:dyDescent="0.25"/>
  <cols>
    <col min="3" max="3" width="23.85546875" customWidth="1"/>
    <col min="4" max="4" width="19.42578125" customWidth="1"/>
    <col min="5" max="5" width="17.140625" customWidth="1"/>
    <col min="8" max="8" width="31.28515625" customWidth="1"/>
  </cols>
  <sheetData>
    <row r="8" spans="3:9" x14ac:dyDescent="0.25">
      <c r="C8" s="1" t="s">
        <v>210</v>
      </c>
    </row>
    <row r="10" spans="3:9" x14ac:dyDescent="0.25">
      <c r="C10">
        <f>ExpensesOutput!$A$2</f>
        <v>0</v>
      </c>
    </row>
    <row r="12" spans="3:9" x14ac:dyDescent="0.25">
      <c r="C12" s="1" t="s">
        <v>68</v>
      </c>
      <c r="D12" s="1" t="s">
        <v>67</v>
      </c>
      <c r="E12" s="1" t="s">
        <v>66</v>
      </c>
    </row>
    <row r="13" spans="3:9" x14ac:dyDescent="0.25">
      <c r="C13">
        <f>ExpensesOutput!$B$2</f>
        <v>0</v>
      </c>
      <c r="D13">
        <f>ExpensesOutput!$C$2</f>
        <v>0</v>
      </c>
      <c r="E13">
        <f>ExpensesOutput!$D$2</f>
        <v>0</v>
      </c>
      <c r="H13" s="1" t="s">
        <v>324</v>
      </c>
      <c r="I13" s="11"/>
    </row>
    <row r="14" spans="3:9" x14ac:dyDescent="0.25">
      <c r="H14" s="1" t="s">
        <v>325</v>
      </c>
      <c r="I14" s="11"/>
    </row>
    <row r="15" spans="3:9" x14ac:dyDescent="0.25">
      <c r="C15" s="1" t="s">
        <v>65</v>
      </c>
      <c r="D15" s="4">
        <f>ExpensesOutput!$E$2</f>
        <v>0</v>
      </c>
      <c r="H15" s="33" t="s">
        <v>326</v>
      </c>
      <c r="I15" s="11"/>
    </row>
    <row r="16" spans="3:9" x14ac:dyDescent="0.25">
      <c r="C16" s="1" t="s">
        <v>64</v>
      </c>
      <c r="D16" s="4">
        <f>ExpensesOutput!$F$2</f>
        <v>0</v>
      </c>
      <c r="H16" s="33" t="s">
        <v>327</v>
      </c>
      <c r="I16" s="11"/>
    </row>
    <row r="17" spans="3:9" x14ac:dyDescent="0.25">
      <c r="C17" s="1" t="s">
        <v>63</v>
      </c>
      <c r="D17" s="4">
        <f>ExpensesOutput!$G$2</f>
        <v>0</v>
      </c>
      <c r="H17" s="33" t="s">
        <v>328</v>
      </c>
      <c r="I17" s="11"/>
    </row>
    <row r="18" spans="3:9" x14ac:dyDescent="0.25">
      <c r="C18" s="1" t="s">
        <v>62</v>
      </c>
      <c r="D18" s="4">
        <f>ExpensesOutput!$H$2</f>
        <v>0</v>
      </c>
      <c r="H18" s="4"/>
    </row>
    <row r="19" spans="3:9" x14ac:dyDescent="0.25">
      <c r="C19" s="1" t="s">
        <v>61</v>
      </c>
      <c r="D19" s="4">
        <f>ExpensesOutput!$I$2</f>
        <v>0</v>
      </c>
      <c r="H19" s="4"/>
    </row>
    <row r="20" spans="3:9" x14ac:dyDescent="0.25">
      <c r="C20" s="1" t="s">
        <v>60</v>
      </c>
      <c r="D20" s="4">
        <f>ExpensesOutput!$J$2</f>
        <v>0</v>
      </c>
      <c r="H20" s="4"/>
    </row>
    <row r="21" spans="3:9" x14ac:dyDescent="0.25">
      <c r="C21" s="1" t="s">
        <v>59</v>
      </c>
      <c r="D21" s="4">
        <f>ExpensesOutput!$K$2</f>
        <v>0</v>
      </c>
      <c r="H21" s="4"/>
    </row>
    <row r="22" spans="3:9" x14ac:dyDescent="0.25">
      <c r="C22" s="1" t="s">
        <v>58</v>
      </c>
      <c r="D22" s="4">
        <f>ExpensesOutput!$L$2</f>
        <v>0</v>
      </c>
      <c r="H22" s="4"/>
    </row>
    <row r="23" spans="3:9" x14ac:dyDescent="0.25">
      <c r="C23" s="1" t="s">
        <v>57</v>
      </c>
      <c r="D23" s="4">
        <f>ExpensesOutput!$M$2</f>
        <v>0</v>
      </c>
      <c r="H23" s="4"/>
    </row>
    <row r="24" spans="3:9" x14ac:dyDescent="0.25">
      <c r="C24" s="1" t="s">
        <v>56</v>
      </c>
      <c r="D24" s="4">
        <f>ExpensesOutput!$N$2</f>
        <v>0</v>
      </c>
      <c r="H24" s="4"/>
    </row>
    <row r="25" spans="3:9" x14ac:dyDescent="0.25">
      <c r="C25" s="1" t="s">
        <v>55</v>
      </c>
      <c r="D25" s="4">
        <f>ExpensesOutput!$O$2</f>
        <v>0</v>
      </c>
      <c r="H25" s="4"/>
    </row>
    <row r="26" spans="3:9" x14ac:dyDescent="0.25">
      <c r="C26" s="1" t="s">
        <v>54</v>
      </c>
      <c r="D26" s="4">
        <f>ExpensesOutput!$P$2</f>
        <v>0</v>
      </c>
      <c r="H26" s="4"/>
    </row>
    <row r="27" spans="3:9" x14ac:dyDescent="0.25">
      <c r="C27" s="1" t="s">
        <v>53</v>
      </c>
      <c r="D27" s="4">
        <f>ExpensesOutput!$Q$2</f>
        <v>0</v>
      </c>
      <c r="H27" s="4"/>
    </row>
    <row r="28" spans="3:9" x14ac:dyDescent="0.25">
      <c r="C28" s="1" t="s">
        <v>52</v>
      </c>
      <c r="D28" s="4">
        <f>ExpensesOutput!$R$2</f>
        <v>0</v>
      </c>
      <c r="H28" s="4"/>
    </row>
    <row r="29" spans="3:9" x14ac:dyDescent="0.25">
      <c r="C29" s="1" t="s">
        <v>51</v>
      </c>
      <c r="D29" s="4">
        <f>ExpensesOutput!$S$2</f>
        <v>0</v>
      </c>
      <c r="H29" s="4"/>
    </row>
    <row r="30" spans="3:9" x14ac:dyDescent="0.25">
      <c r="C30" s="1" t="s">
        <v>50</v>
      </c>
      <c r="D30" s="4">
        <f>ExpensesOutput!$T$2</f>
        <v>0</v>
      </c>
      <c r="H30" s="4"/>
    </row>
    <row r="31" spans="3:9" x14ac:dyDescent="0.25">
      <c r="C31" s="1" t="s">
        <v>49</v>
      </c>
      <c r="D31" s="4">
        <f>ExpensesOutput!$U$2</f>
        <v>0</v>
      </c>
      <c r="H31" s="4"/>
    </row>
    <row r="32" spans="3:9" x14ac:dyDescent="0.25">
      <c r="C32" s="1" t="s">
        <v>48</v>
      </c>
      <c r="D32" s="4">
        <f>ExpensesOutput!$V$2</f>
        <v>0</v>
      </c>
      <c r="H32" s="4"/>
    </row>
    <row r="33" spans="3:8" x14ac:dyDescent="0.25">
      <c r="C33" s="1" t="s">
        <v>47</v>
      </c>
      <c r="D33" s="4">
        <f>ExpensesOutput!$W$2</f>
        <v>0</v>
      </c>
      <c r="H33" s="4"/>
    </row>
    <row r="34" spans="3:8" x14ac:dyDescent="0.25">
      <c r="C34" s="1" t="s">
        <v>46</v>
      </c>
      <c r="D34" s="4">
        <f>ExpensesOutput!$X$2</f>
        <v>0</v>
      </c>
      <c r="H34" s="4"/>
    </row>
    <row r="35" spans="3:8" x14ac:dyDescent="0.25">
      <c r="C35" s="1" t="s">
        <v>45</v>
      </c>
      <c r="D35" s="4">
        <f>ExpensesOutput!$Y$2</f>
        <v>0</v>
      </c>
      <c r="H35" s="4"/>
    </row>
    <row r="36" spans="3:8" x14ac:dyDescent="0.25">
      <c r="C36" s="1" t="s">
        <v>44</v>
      </c>
      <c r="D36" s="4">
        <f>ExpensesOutput!$Z$2</f>
        <v>0</v>
      </c>
      <c r="H36" s="4"/>
    </row>
    <row r="37" spans="3:8" x14ac:dyDescent="0.25">
      <c r="C37" s="1" t="s">
        <v>43</v>
      </c>
      <c r="D37" s="4">
        <f>ExpensesOutput!$AA$2</f>
        <v>0</v>
      </c>
      <c r="H37" s="4"/>
    </row>
    <row r="38" spans="3:8" x14ac:dyDescent="0.25">
      <c r="C38" s="1" t="s">
        <v>42</v>
      </c>
      <c r="D38" s="4">
        <f>ExpensesOutput!$AB$2</f>
        <v>0</v>
      </c>
      <c r="H38" s="4"/>
    </row>
    <row r="39" spans="3:8" x14ac:dyDescent="0.25">
      <c r="C39" s="1" t="s">
        <v>41</v>
      </c>
      <c r="D39" s="4">
        <f>ExpensesOutput!$AC$2</f>
        <v>0</v>
      </c>
      <c r="H39" s="4"/>
    </row>
    <row r="40" spans="3:8" x14ac:dyDescent="0.25">
      <c r="C40" s="1" t="s">
        <v>40</v>
      </c>
      <c r="D40" s="4">
        <f>ExpensesOutput!$AD$2</f>
        <v>0</v>
      </c>
      <c r="H40" s="4"/>
    </row>
    <row r="41" spans="3:8" x14ac:dyDescent="0.25">
      <c r="C41" s="1" t="s">
        <v>39</v>
      </c>
      <c r="D41">
        <f>ExpensesOutput!$AE$2</f>
        <v>0</v>
      </c>
      <c r="H41" s="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0" r:id="rId3" name="Button 2">
              <controlPr defaultSize="0" print="0" autoFill="0" autoPict="0" macro="[0]!AnalysisMenu">
                <anchor moveWithCells="1">
                  <from>
                    <xdr:col>1</xdr:col>
                    <xdr:colOff>447675</xdr:colOff>
                    <xdr:row>1</xdr:row>
                    <xdr:rowOff>114300</xdr:rowOff>
                  </from>
                  <to>
                    <xdr:col>3</xdr:col>
                    <xdr:colOff>9525</xdr:colOff>
                    <xdr:row>2</xdr:row>
                    <xdr:rowOff>161925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3:AI75"/>
  <sheetViews>
    <sheetView workbookViewId="0">
      <selection activeCell="D3" sqref="D3"/>
    </sheetView>
  </sheetViews>
  <sheetFormatPr defaultRowHeight="15" x14ac:dyDescent="0.25"/>
  <cols>
    <col min="3" max="3" width="18.28515625" customWidth="1"/>
    <col min="4" max="4" width="10.7109375" bestFit="1" customWidth="1"/>
    <col min="8" max="8" width="15" customWidth="1"/>
    <col min="9" max="9" width="21.7109375" customWidth="1"/>
    <col min="10" max="10" width="9.7109375" bestFit="1" customWidth="1"/>
    <col min="34" max="34" width="14" customWidth="1"/>
    <col min="35" max="35" width="26.7109375" customWidth="1"/>
  </cols>
  <sheetData>
    <row r="3" spans="3:35" x14ac:dyDescent="0.25">
      <c r="AD3" s="134">
        <v>18</v>
      </c>
      <c r="AE3" s="134" t="s">
        <v>814</v>
      </c>
      <c r="AH3" s="134">
        <v>0</v>
      </c>
      <c r="AI3" s="134" t="s">
        <v>820</v>
      </c>
    </row>
    <row r="4" spans="3:35" x14ac:dyDescent="0.25">
      <c r="AD4" s="134">
        <f>AD3+1</f>
        <v>19</v>
      </c>
      <c r="AE4" s="134" t="s">
        <v>814</v>
      </c>
      <c r="AH4" s="134">
        <v>0.01</v>
      </c>
      <c r="AI4" s="134" t="s">
        <v>821</v>
      </c>
    </row>
    <row r="5" spans="3:35" x14ac:dyDescent="0.25">
      <c r="AD5" s="134">
        <f t="shared" ref="AD5:AD68" si="0">AD4+1</f>
        <v>20</v>
      </c>
      <c r="AE5" s="134" t="s">
        <v>814</v>
      </c>
      <c r="AH5" s="134">
        <v>9999.99</v>
      </c>
      <c r="AI5" s="134" t="s">
        <v>821</v>
      </c>
    </row>
    <row r="6" spans="3:35" x14ac:dyDescent="0.25">
      <c r="AD6" s="134">
        <f t="shared" si="0"/>
        <v>21</v>
      </c>
      <c r="AE6" s="134" t="s">
        <v>814</v>
      </c>
      <c r="AH6" s="134">
        <v>10000</v>
      </c>
      <c r="AI6" s="134" t="s">
        <v>822</v>
      </c>
    </row>
    <row r="7" spans="3:35" x14ac:dyDescent="0.25">
      <c r="AD7" s="134">
        <f t="shared" si="0"/>
        <v>22</v>
      </c>
      <c r="AE7" s="134" t="s">
        <v>814</v>
      </c>
      <c r="AH7" s="134">
        <v>19999.990000000002</v>
      </c>
      <c r="AI7" s="134" t="s">
        <v>822</v>
      </c>
    </row>
    <row r="8" spans="3:35" x14ac:dyDescent="0.25">
      <c r="AD8" s="134">
        <f t="shared" si="0"/>
        <v>23</v>
      </c>
      <c r="AE8" s="134" t="s">
        <v>814</v>
      </c>
      <c r="AH8" s="134">
        <v>20000</v>
      </c>
      <c r="AI8" s="134" t="s">
        <v>823</v>
      </c>
    </row>
    <row r="9" spans="3:35" x14ac:dyDescent="0.25">
      <c r="C9" s="1" t="s">
        <v>210</v>
      </c>
      <c r="AD9" s="134">
        <f t="shared" si="0"/>
        <v>24</v>
      </c>
      <c r="AE9" s="134" t="s">
        <v>814</v>
      </c>
      <c r="AH9" s="134">
        <v>29999.99</v>
      </c>
      <c r="AI9" s="134" t="s">
        <v>823</v>
      </c>
    </row>
    <row r="10" spans="3:35" x14ac:dyDescent="0.25">
      <c r="C10">
        <f>MarketingOutputs!$A$2</f>
        <v>0</v>
      </c>
      <c r="I10" s="183">
        <f ca="1">TODAY()</f>
        <v>41612</v>
      </c>
      <c r="J10" s="178"/>
      <c r="K10" s="179"/>
      <c r="AD10" s="134">
        <f t="shared" si="0"/>
        <v>25</v>
      </c>
      <c r="AE10" s="134" t="s">
        <v>815</v>
      </c>
      <c r="AH10" s="134">
        <v>30000</v>
      </c>
      <c r="AI10" s="134" t="s">
        <v>824</v>
      </c>
    </row>
    <row r="11" spans="3:35" x14ac:dyDescent="0.25">
      <c r="AD11" s="134">
        <f t="shared" si="0"/>
        <v>26</v>
      </c>
      <c r="AE11" s="134" t="s">
        <v>815</v>
      </c>
      <c r="AH11" s="134">
        <v>39999.99</v>
      </c>
      <c r="AI11" s="134" t="s">
        <v>824</v>
      </c>
    </row>
    <row r="12" spans="3:35" x14ac:dyDescent="0.25">
      <c r="I12" s="177"/>
      <c r="AD12" s="134">
        <f t="shared" si="0"/>
        <v>27</v>
      </c>
      <c r="AE12" s="134" t="s">
        <v>815</v>
      </c>
      <c r="AH12" s="134">
        <v>40000</v>
      </c>
      <c r="AI12" s="134" t="s">
        <v>825</v>
      </c>
    </row>
    <row r="13" spans="3:35" x14ac:dyDescent="0.25">
      <c r="C13" s="1" t="s">
        <v>107</v>
      </c>
      <c r="D13" s="14">
        <f>MarketingOutputs!$B$2</f>
        <v>0</v>
      </c>
      <c r="H13" t="s">
        <v>503</v>
      </c>
      <c r="I13" s="180" t="str">
        <f>IF(D21=" "," ",($I$10-D21)/365)</f>
        <v xml:space="preserve"> </v>
      </c>
      <c r="AD13" s="134">
        <f t="shared" si="0"/>
        <v>28</v>
      </c>
      <c r="AE13" s="134" t="s">
        <v>815</v>
      </c>
      <c r="AH13" s="134">
        <v>49999.99</v>
      </c>
      <c r="AI13" s="134" t="s">
        <v>825</v>
      </c>
    </row>
    <row r="14" spans="3:35" x14ac:dyDescent="0.25">
      <c r="C14" s="1" t="s">
        <v>106</v>
      </c>
      <c r="D14" s="14">
        <f>MarketingOutputs!$C$2</f>
        <v>0</v>
      </c>
      <c r="H14" t="s">
        <v>810</v>
      </c>
      <c r="I14" s="180" t="str">
        <f>IF(D22=" "," ",($I$10-D22)/365)</f>
        <v xml:space="preserve"> </v>
      </c>
      <c r="AD14" s="134">
        <f t="shared" si="0"/>
        <v>29</v>
      </c>
      <c r="AE14" s="134" t="s">
        <v>815</v>
      </c>
      <c r="AH14" s="134">
        <v>50000</v>
      </c>
      <c r="AI14" s="134" t="s">
        <v>826</v>
      </c>
    </row>
    <row r="15" spans="3:35" x14ac:dyDescent="0.25">
      <c r="C15" s="1" t="s">
        <v>105</v>
      </c>
      <c r="D15" s="14">
        <f>MarketingOutputs!$D$2</f>
        <v>0</v>
      </c>
      <c r="H15" t="s">
        <v>811</v>
      </c>
      <c r="I15" s="180" t="str">
        <f>IF(OR(I13&lt;&gt;" ",I14&lt;&gt;" "),AVERAGE(I13:I14)," ")</f>
        <v xml:space="preserve"> </v>
      </c>
      <c r="AD15" s="134">
        <f t="shared" si="0"/>
        <v>30</v>
      </c>
      <c r="AE15" s="134" t="s">
        <v>815</v>
      </c>
    </row>
    <row r="16" spans="3:35" x14ac:dyDescent="0.25">
      <c r="C16" s="1" t="s">
        <v>104</v>
      </c>
      <c r="D16" s="181">
        <v>37256</v>
      </c>
      <c r="H16" t="s">
        <v>812</v>
      </c>
      <c r="I16" s="14" t="e">
        <f>IF(I15&gt;=18,VLOOKUP(I15,AD3:AE75,2),0)</f>
        <v>#N/A</v>
      </c>
      <c r="AD16" s="134">
        <f t="shared" si="0"/>
        <v>31</v>
      </c>
      <c r="AE16" s="134" t="s">
        <v>815</v>
      </c>
    </row>
    <row r="17" spans="3:31" x14ac:dyDescent="0.25">
      <c r="C17" s="1" t="s">
        <v>103</v>
      </c>
      <c r="D17" s="14">
        <f>MarketingOutputs!$F$2</f>
        <v>0</v>
      </c>
      <c r="AD17" s="134">
        <f t="shared" si="0"/>
        <v>32</v>
      </c>
      <c r="AE17" s="134" t="s">
        <v>815</v>
      </c>
    </row>
    <row r="18" spans="3:31" x14ac:dyDescent="0.25">
      <c r="C18" s="1" t="s">
        <v>233</v>
      </c>
      <c r="D18" s="14" t="str">
        <f>IF(JohnsInput!B8&gt;0,JohnsInput!B8," ")</f>
        <v xml:space="preserve"> </v>
      </c>
      <c r="H18" t="s">
        <v>188</v>
      </c>
      <c r="I18" s="18">
        <f>Income!$K$35</f>
        <v>0</v>
      </c>
      <c r="AD18" s="134">
        <f t="shared" si="0"/>
        <v>33</v>
      </c>
      <c r="AE18" s="134" t="s">
        <v>815</v>
      </c>
    </row>
    <row r="19" spans="3:31" x14ac:dyDescent="0.25">
      <c r="C19" s="1" t="s">
        <v>234</v>
      </c>
      <c r="D19" s="14" t="str">
        <f>IF(JohnsInput!B9&gt;0,JohnsInput!B9," ")</f>
        <v xml:space="preserve"> </v>
      </c>
      <c r="H19" t="s">
        <v>813</v>
      </c>
      <c r="I19" s="14" t="str">
        <f>VLOOKUP(I18,AH3:AI14,2)</f>
        <v>No Income</v>
      </c>
      <c r="AD19" s="134">
        <f t="shared" si="0"/>
        <v>34</v>
      </c>
      <c r="AE19" s="134" t="s">
        <v>815</v>
      </c>
    </row>
    <row r="20" spans="3:31" x14ac:dyDescent="0.25">
      <c r="C20" s="1" t="s">
        <v>235</v>
      </c>
      <c r="D20" s="14" t="str">
        <f>IF(JohnsInput!B10&gt;0,JohnsInput!B10," ")</f>
        <v xml:space="preserve"> </v>
      </c>
      <c r="AD20" s="134">
        <f t="shared" si="0"/>
        <v>35</v>
      </c>
      <c r="AE20" s="134" t="s">
        <v>816</v>
      </c>
    </row>
    <row r="21" spans="3:31" x14ac:dyDescent="0.25">
      <c r="C21" s="1" t="s">
        <v>329</v>
      </c>
      <c r="D21" s="184" t="str">
        <f>IF(JohnsInput!B11&gt;0,JohnsInput!B11," ")</f>
        <v xml:space="preserve"> </v>
      </c>
      <c r="AD21" s="134">
        <f t="shared" si="0"/>
        <v>36</v>
      </c>
      <c r="AE21" s="134" t="s">
        <v>816</v>
      </c>
    </row>
    <row r="22" spans="3:31" x14ac:dyDescent="0.25">
      <c r="C22" s="1" t="s">
        <v>330</v>
      </c>
      <c r="D22" s="184" t="str">
        <f>IF(JohnsInput!B12&gt;0,JohnsInput!B12," ")</f>
        <v xml:space="preserve"> </v>
      </c>
      <c r="AD22" s="134">
        <f t="shared" si="0"/>
        <v>37</v>
      </c>
      <c r="AE22" s="134" t="s">
        <v>816</v>
      </c>
    </row>
    <row r="23" spans="3:31" x14ac:dyDescent="0.25">
      <c r="AD23" s="134">
        <f t="shared" si="0"/>
        <v>38</v>
      </c>
      <c r="AE23" s="134" t="s">
        <v>816</v>
      </c>
    </row>
    <row r="24" spans="3:31" x14ac:dyDescent="0.25">
      <c r="AD24" s="134">
        <f t="shared" si="0"/>
        <v>39</v>
      </c>
      <c r="AE24" s="134" t="s">
        <v>816</v>
      </c>
    </row>
    <row r="25" spans="3:31" x14ac:dyDescent="0.25">
      <c r="AD25" s="134">
        <f t="shared" si="0"/>
        <v>40</v>
      </c>
      <c r="AE25" s="134" t="s">
        <v>816</v>
      </c>
    </row>
    <row r="26" spans="3:31" x14ac:dyDescent="0.25">
      <c r="AD26" s="134">
        <f t="shared" si="0"/>
        <v>41</v>
      </c>
      <c r="AE26" s="134" t="s">
        <v>816</v>
      </c>
    </row>
    <row r="27" spans="3:31" x14ac:dyDescent="0.25">
      <c r="AD27" s="134">
        <f t="shared" si="0"/>
        <v>42</v>
      </c>
      <c r="AE27" s="134" t="s">
        <v>816</v>
      </c>
    </row>
    <row r="28" spans="3:31" x14ac:dyDescent="0.25">
      <c r="AD28" s="134">
        <f t="shared" si="0"/>
        <v>43</v>
      </c>
      <c r="AE28" s="134" t="s">
        <v>816</v>
      </c>
    </row>
    <row r="29" spans="3:31" x14ac:dyDescent="0.25">
      <c r="AD29" s="134">
        <f t="shared" si="0"/>
        <v>44</v>
      </c>
      <c r="AE29" s="134" t="s">
        <v>816</v>
      </c>
    </row>
    <row r="30" spans="3:31" x14ac:dyDescent="0.25">
      <c r="AD30" s="134">
        <f t="shared" si="0"/>
        <v>45</v>
      </c>
      <c r="AE30" s="134" t="s">
        <v>817</v>
      </c>
    </row>
    <row r="31" spans="3:31" x14ac:dyDescent="0.25">
      <c r="AD31" s="134">
        <f t="shared" si="0"/>
        <v>46</v>
      </c>
      <c r="AE31" s="134" t="s">
        <v>817</v>
      </c>
    </row>
    <row r="32" spans="3:31" x14ac:dyDescent="0.25">
      <c r="AD32" s="134">
        <f t="shared" si="0"/>
        <v>47</v>
      </c>
      <c r="AE32" s="134" t="s">
        <v>817</v>
      </c>
    </row>
    <row r="33" spans="30:31" x14ac:dyDescent="0.25">
      <c r="AD33" s="134">
        <f t="shared" si="0"/>
        <v>48</v>
      </c>
      <c r="AE33" s="134" t="s">
        <v>817</v>
      </c>
    </row>
    <row r="34" spans="30:31" x14ac:dyDescent="0.25">
      <c r="AD34" s="134">
        <f t="shared" si="0"/>
        <v>49</v>
      </c>
      <c r="AE34" s="134" t="s">
        <v>817</v>
      </c>
    </row>
    <row r="35" spans="30:31" x14ac:dyDescent="0.25">
      <c r="AD35" s="134">
        <f t="shared" si="0"/>
        <v>50</v>
      </c>
      <c r="AE35" s="134" t="s">
        <v>817</v>
      </c>
    </row>
    <row r="36" spans="30:31" x14ac:dyDescent="0.25">
      <c r="AD36" s="134">
        <f t="shared" si="0"/>
        <v>51</v>
      </c>
      <c r="AE36" s="134" t="s">
        <v>817</v>
      </c>
    </row>
    <row r="37" spans="30:31" x14ac:dyDescent="0.25">
      <c r="AD37" s="134">
        <f t="shared" si="0"/>
        <v>52</v>
      </c>
      <c r="AE37" s="134" t="s">
        <v>817</v>
      </c>
    </row>
    <row r="38" spans="30:31" x14ac:dyDescent="0.25">
      <c r="AD38" s="134">
        <f t="shared" si="0"/>
        <v>53</v>
      </c>
      <c r="AE38" s="134" t="s">
        <v>817</v>
      </c>
    </row>
    <row r="39" spans="30:31" x14ac:dyDescent="0.25">
      <c r="AD39" s="134">
        <f t="shared" si="0"/>
        <v>54</v>
      </c>
      <c r="AE39" s="134" t="s">
        <v>817</v>
      </c>
    </row>
    <row r="40" spans="30:31" x14ac:dyDescent="0.25">
      <c r="AD40" s="134">
        <f t="shared" si="0"/>
        <v>55</v>
      </c>
      <c r="AE40" s="134" t="s">
        <v>818</v>
      </c>
    </row>
    <row r="41" spans="30:31" x14ac:dyDescent="0.25">
      <c r="AD41" s="134">
        <f t="shared" si="0"/>
        <v>56</v>
      </c>
      <c r="AE41" s="134" t="s">
        <v>818</v>
      </c>
    </row>
    <row r="42" spans="30:31" x14ac:dyDescent="0.25">
      <c r="AD42" s="134">
        <f t="shared" si="0"/>
        <v>57</v>
      </c>
      <c r="AE42" s="134" t="s">
        <v>818</v>
      </c>
    </row>
    <row r="43" spans="30:31" x14ac:dyDescent="0.25">
      <c r="AD43" s="134">
        <f t="shared" si="0"/>
        <v>58</v>
      </c>
      <c r="AE43" s="134" t="s">
        <v>818</v>
      </c>
    </row>
    <row r="44" spans="30:31" x14ac:dyDescent="0.25">
      <c r="AD44" s="134">
        <f t="shared" si="0"/>
        <v>59</v>
      </c>
      <c r="AE44" s="134" t="s">
        <v>818</v>
      </c>
    </row>
    <row r="45" spans="30:31" x14ac:dyDescent="0.25">
      <c r="AD45" s="134">
        <f t="shared" si="0"/>
        <v>60</v>
      </c>
      <c r="AE45" s="134" t="s">
        <v>818</v>
      </c>
    </row>
    <row r="46" spans="30:31" x14ac:dyDescent="0.25">
      <c r="AD46" s="134">
        <f t="shared" si="0"/>
        <v>61</v>
      </c>
      <c r="AE46" s="134" t="s">
        <v>818</v>
      </c>
    </row>
    <row r="47" spans="30:31" x14ac:dyDescent="0.25">
      <c r="AD47" s="134">
        <f t="shared" si="0"/>
        <v>62</v>
      </c>
      <c r="AE47" s="134" t="s">
        <v>818</v>
      </c>
    </row>
    <row r="48" spans="30:31" x14ac:dyDescent="0.25">
      <c r="AD48" s="134">
        <f t="shared" si="0"/>
        <v>63</v>
      </c>
      <c r="AE48" s="134" t="s">
        <v>818</v>
      </c>
    </row>
    <row r="49" spans="30:31" x14ac:dyDescent="0.25">
      <c r="AD49" s="134">
        <f t="shared" si="0"/>
        <v>64</v>
      </c>
      <c r="AE49" s="134" t="s">
        <v>818</v>
      </c>
    </row>
    <row r="50" spans="30:31" x14ac:dyDescent="0.25">
      <c r="AD50" s="134">
        <f t="shared" si="0"/>
        <v>65</v>
      </c>
      <c r="AE50" s="134" t="s">
        <v>819</v>
      </c>
    </row>
    <row r="51" spans="30:31" x14ac:dyDescent="0.25">
      <c r="AD51" s="134">
        <f t="shared" si="0"/>
        <v>66</v>
      </c>
      <c r="AE51" s="134" t="s">
        <v>819</v>
      </c>
    </row>
    <row r="52" spans="30:31" x14ac:dyDescent="0.25">
      <c r="AD52" s="134">
        <f t="shared" si="0"/>
        <v>67</v>
      </c>
      <c r="AE52" s="134" t="s">
        <v>819</v>
      </c>
    </row>
    <row r="53" spans="30:31" x14ac:dyDescent="0.25">
      <c r="AD53" s="134">
        <f t="shared" si="0"/>
        <v>68</v>
      </c>
      <c r="AE53" s="134" t="s">
        <v>819</v>
      </c>
    </row>
    <row r="54" spans="30:31" x14ac:dyDescent="0.25">
      <c r="AD54" s="134">
        <f t="shared" si="0"/>
        <v>69</v>
      </c>
      <c r="AE54" s="134" t="s">
        <v>819</v>
      </c>
    </row>
    <row r="55" spans="30:31" x14ac:dyDescent="0.25">
      <c r="AD55" s="134">
        <f t="shared" si="0"/>
        <v>70</v>
      </c>
      <c r="AE55" s="134" t="s">
        <v>819</v>
      </c>
    </row>
    <row r="56" spans="30:31" x14ac:dyDescent="0.25">
      <c r="AD56" s="134">
        <f t="shared" si="0"/>
        <v>71</v>
      </c>
      <c r="AE56" s="134" t="s">
        <v>819</v>
      </c>
    </row>
    <row r="57" spans="30:31" x14ac:dyDescent="0.25">
      <c r="AD57" s="134">
        <f t="shared" si="0"/>
        <v>72</v>
      </c>
      <c r="AE57" s="134" t="s">
        <v>819</v>
      </c>
    </row>
    <row r="58" spans="30:31" x14ac:dyDescent="0.25">
      <c r="AD58" s="134">
        <f t="shared" si="0"/>
        <v>73</v>
      </c>
      <c r="AE58" s="134" t="s">
        <v>819</v>
      </c>
    </row>
    <row r="59" spans="30:31" x14ac:dyDescent="0.25">
      <c r="AD59" s="134">
        <f t="shared" si="0"/>
        <v>74</v>
      </c>
      <c r="AE59" s="134" t="s">
        <v>819</v>
      </c>
    </row>
    <row r="60" spans="30:31" x14ac:dyDescent="0.25">
      <c r="AD60" s="134">
        <f t="shared" si="0"/>
        <v>75</v>
      </c>
      <c r="AE60" s="134" t="s">
        <v>819</v>
      </c>
    </row>
    <row r="61" spans="30:31" x14ac:dyDescent="0.25">
      <c r="AD61" s="134">
        <f t="shared" si="0"/>
        <v>76</v>
      </c>
      <c r="AE61" s="134" t="s">
        <v>819</v>
      </c>
    </row>
    <row r="62" spans="30:31" x14ac:dyDescent="0.25">
      <c r="AD62" s="134">
        <f t="shared" si="0"/>
        <v>77</v>
      </c>
      <c r="AE62" s="134" t="s">
        <v>819</v>
      </c>
    </row>
    <row r="63" spans="30:31" x14ac:dyDescent="0.25">
      <c r="AD63" s="134">
        <f t="shared" si="0"/>
        <v>78</v>
      </c>
      <c r="AE63" s="134" t="s">
        <v>819</v>
      </c>
    </row>
    <row r="64" spans="30:31" x14ac:dyDescent="0.25">
      <c r="AD64" s="134">
        <f t="shared" si="0"/>
        <v>79</v>
      </c>
      <c r="AE64" s="134" t="s">
        <v>819</v>
      </c>
    </row>
    <row r="65" spans="30:31" x14ac:dyDescent="0.25">
      <c r="AD65" s="134">
        <f t="shared" si="0"/>
        <v>80</v>
      </c>
      <c r="AE65" s="134" t="s">
        <v>819</v>
      </c>
    </row>
    <row r="66" spans="30:31" x14ac:dyDescent="0.25">
      <c r="AD66" s="134">
        <f t="shared" si="0"/>
        <v>81</v>
      </c>
      <c r="AE66" s="134" t="s">
        <v>819</v>
      </c>
    </row>
    <row r="67" spans="30:31" x14ac:dyDescent="0.25">
      <c r="AD67" s="134">
        <f t="shared" si="0"/>
        <v>82</v>
      </c>
      <c r="AE67" s="134" t="s">
        <v>819</v>
      </c>
    </row>
    <row r="68" spans="30:31" x14ac:dyDescent="0.25">
      <c r="AD68" s="134">
        <f t="shared" si="0"/>
        <v>83</v>
      </c>
      <c r="AE68" s="134" t="s">
        <v>819</v>
      </c>
    </row>
    <row r="69" spans="30:31" x14ac:dyDescent="0.25">
      <c r="AD69" s="134">
        <f t="shared" ref="AD69:AD75" si="1">AD68+1</f>
        <v>84</v>
      </c>
      <c r="AE69" s="134" t="s">
        <v>819</v>
      </c>
    </row>
    <row r="70" spans="30:31" x14ac:dyDescent="0.25">
      <c r="AD70" s="134">
        <f t="shared" si="1"/>
        <v>85</v>
      </c>
      <c r="AE70" s="134" t="s">
        <v>819</v>
      </c>
    </row>
    <row r="71" spans="30:31" x14ac:dyDescent="0.25">
      <c r="AD71" s="134">
        <f t="shared" si="1"/>
        <v>86</v>
      </c>
      <c r="AE71" s="134" t="s">
        <v>819</v>
      </c>
    </row>
    <row r="72" spans="30:31" x14ac:dyDescent="0.25">
      <c r="AD72" s="134">
        <f t="shared" si="1"/>
        <v>87</v>
      </c>
      <c r="AE72" s="134" t="s">
        <v>819</v>
      </c>
    </row>
    <row r="73" spans="30:31" x14ac:dyDescent="0.25">
      <c r="AD73" s="134">
        <f t="shared" si="1"/>
        <v>88</v>
      </c>
      <c r="AE73" s="134" t="s">
        <v>819</v>
      </c>
    </row>
    <row r="74" spans="30:31" x14ac:dyDescent="0.25">
      <c r="AD74" s="134">
        <f t="shared" si="1"/>
        <v>89</v>
      </c>
      <c r="AE74" s="134" t="s">
        <v>819</v>
      </c>
    </row>
    <row r="75" spans="30:31" x14ac:dyDescent="0.25">
      <c r="AD75" s="134">
        <f t="shared" si="1"/>
        <v>90</v>
      </c>
      <c r="AE75" s="134" t="s">
        <v>819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AnalysisMenu">
                <anchor moveWithCells="1">
                  <from>
                    <xdr:col>1</xdr:col>
                    <xdr:colOff>447675</xdr:colOff>
                    <xdr:row>1</xdr:row>
                    <xdr:rowOff>114300</xdr:rowOff>
                  </from>
                  <to>
                    <xdr:col>3</xdr:col>
                    <xdr:colOff>381000</xdr:colOff>
                    <xdr:row>2</xdr:row>
                    <xdr:rowOff>161925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D16"/>
  <sheetViews>
    <sheetView workbookViewId="0">
      <selection activeCell="F10" sqref="F10"/>
    </sheetView>
  </sheetViews>
  <sheetFormatPr defaultRowHeight="15" x14ac:dyDescent="0.25"/>
  <cols>
    <col min="3" max="3" width="25" customWidth="1"/>
  </cols>
  <sheetData>
    <row r="6" spans="3:4" x14ac:dyDescent="0.25">
      <c r="C6" s="195" t="s">
        <v>590</v>
      </c>
      <c r="D6" s="195"/>
    </row>
    <row r="7" spans="3:4" x14ac:dyDescent="0.25">
      <c r="C7" s="101"/>
      <c r="D7" s="101"/>
    </row>
    <row r="8" spans="3:4" x14ac:dyDescent="0.25">
      <c r="C8" s="23" t="s">
        <v>591</v>
      </c>
      <c r="D8" s="102">
        <f>BackTaxes!$D$14</f>
        <v>0</v>
      </c>
    </row>
    <row r="9" spans="3:4" x14ac:dyDescent="0.25">
      <c r="C9" s="103" t="s">
        <v>592</v>
      </c>
      <c r="D9" s="102">
        <f>BackTaxes!$D$16</f>
        <v>0</v>
      </c>
    </row>
    <row r="10" spans="3:4" x14ac:dyDescent="0.25">
      <c r="C10" s="103" t="s">
        <v>595</v>
      </c>
      <c r="D10" s="102">
        <f>BackTaxes!$D$18</f>
        <v>0</v>
      </c>
    </row>
    <row r="11" spans="3:4" x14ac:dyDescent="0.25">
      <c r="C11" s="23" t="s">
        <v>593</v>
      </c>
      <c r="D11" s="102">
        <f>DebtSummary!$D$15</f>
        <v>0</v>
      </c>
    </row>
    <row r="12" spans="3:4" x14ac:dyDescent="0.25">
      <c r="C12" s="104" t="s">
        <v>594</v>
      </c>
      <c r="D12" s="102">
        <f>DebtSummary!$D$16</f>
        <v>0</v>
      </c>
    </row>
    <row r="13" spans="3:4" x14ac:dyDescent="0.25">
      <c r="C13" s="101"/>
      <c r="D13" s="101"/>
    </row>
    <row r="14" spans="3:4" x14ac:dyDescent="0.25">
      <c r="C14" s="101"/>
      <c r="D14" s="28">
        <f>SUM(D8:D12)</f>
        <v>0</v>
      </c>
    </row>
    <row r="15" spans="3:4" x14ac:dyDescent="0.25">
      <c r="C15" s="101"/>
      <c r="D15" s="101"/>
    </row>
    <row r="16" spans="3:4" x14ac:dyDescent="0.25">
      <c r="C16" s="101"/>
      <c r="D16" s="101"/>
    </row>
  </sheetData>
  <mergeCells count="1">
    <mergeCell ref="C6:D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nalysisMenu">
                <anchor moveWithCells="1">
                  <from>
                    <xdr:col>1</xdr:col>
                    <xdr:colOff>447675</xdr:colOff>
                    <xdr:row>1</xdr:row>
                    <xdr:rowOff>114300</xdr:rowOff>
                  </from>
                  <to>
                    <xdr:col>2</xdr:col>
                    <xdr:colOff>1600200</xdr:colOff>
                    <xdr:row>2</xdr:row>
                    <xdr:rowOff>161925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7:E43"/>
  <sheetViews>
    <sheetView workbookViewId="0">
      <selection activeCell="D33" sqref="D33"/>
    </sheetView>
  </sheetViews>
  <sheetFormatPr defaultRowHeight="15" x14ac:dyDescent="0.25"/>
  <cols>
    <col min="3" max="3" width="23.85546875" customWidth="1"/>
    <col min="4" max="4" width="11.85546875" customWidth="1"/>
  </cols>
  <sheetData>
    <row r="7" spans="3:5" x14ac:dyDescent="0.25">
      <c r="C7" s="23" t="s">
        <v>295</v>
      </c>
      <c r="D7" s="18">
        <f>DebtSummary!D9</f>
        <v>0</v>
      </c>
    </row>
    <row r="8" spans="3:5" x14ac:dyDescent="0.25">
      <c r="C8" s="23" t="s">
        <v>296</v>
      </c>
      <c r="D8" s="18">
        <f>DebtSummary!D10</f>
        <v>0</v>
      </c>
    </row>
    <row r="9" spans="3:5" x14ac:dyDescent="0.25">
      <c r="C9" s="23" t="s">
        <v>28</v>
      </c>
      <c r="D9" s="18">
        <f>DebtSummary!D11</f>
        <v>0</v>
      </c>
    </row>
    <row r="10" spans="3:5" x14ac:dyDescent="0.25">
      <c r="C10" s="23" t="s">
        <v>297</v>
      </c>
      <c r="D10" s="18">
        <f>DebtSummary!D12</f>
        <v>0</v>
      </c>
    </row>
    <row r="11" spans="3:5" x14ac:dyDescent="0.25">
      <c r="C11" s="23" t="s">
        <v>298</v>
      </c>
      <c r="D11" s="18">
        <f>DebtSummary!D14</f>
        <v>0</v>
      </c>
    </row>
    <row r="12" spans="3:5" x14ac:dyDescent="0.25">
      <c r="C12" s="23" t="s">
        <v>299</v>
      </c>
      <c r="D12" s="18">
        <f>DebtSummary!$D$17</f>
        <v>0</v>
      </c>
      <c r="E12" s="18">
        <f>SUM(D7:D12)</f>
        <v>0</v>
      </c>
    </row>
    <row r="13" spans="3:5" x14ac:dyDescent="0.25">
      <c r="E13" s="1" t="s">
        <v>300</v>
      </c>
    </row>
    <row r="14" spans="3:5" x14ac:dyDescent="0.25">
      <c r="C14" s="23" t="s">
        <v>194</v>
      </c>
    </row>
    <row r="15" spans="3:5" x14ac:dyDescent="0.25">
      <c r="C15" s="11"/>
      <c r="D15" s="11"/>
    </row>
    <row r="16" spans="3:5" x14ac:dyDescent="0.25">
      <c r="C16" s="11"/>
      <c r="D16" s="11"/>
    </row>
    <row r="17" spans="3:4" x14ac:dyDescent="0.25">
      <c r="C17" s="11"/>
      <c r="D17" s="11"/>
    </row>
    <row r="18" spans="3:4" x14ac:dyDescent="0.25">
      <c r="C18" s="11"/>
      <c r="D18" s="11"/>
    </row>
    <row r="19" spans="3:4" x14ac:dyDescent="0.25">
      <c r="C19" s="11"/>
      <c r="D19" s="11"/>
    </row>
    <row r="20" spans="3:4" x14ac:dyDescent="0.25">
      <c r="C20" s="1" t="s">
        <v>193</v>
      </c>
    </row>
    <row r="21" spans="3:4" x14ac:dyDescent="0.25">
      <c r="C21" s="14" t="str">
        <f>IF(VehiclesOutput!$B$2=0," ", VehiclesOutput!$B$2)</f>
        <v xml:space="preserve"> </v>
      </c>
      <c r="D21" s="18">
        <f>Vehicles!Q42</f>
        <v>0</v>
      </c>
    </row>
    <row r="22" spans="3:4" x14ac:dyDescent="0.25">
      <c r="C22" s="14" t="str">
        <f>IF(VehiclesOutput!$B$3=0," ", VehiclesOutput!$B$3)</f>
        <v xml:space="preserve"> </v>
      </c>
      <c r="D22" s="18">
        <f>Vehicles!Q43</f>
        <v>0</v>
      </c>
    </row>
    <row r="23" spans="3:4" x14ac:dyDescent="0.25">
      <c r="C23" s="14" t="str">
        <f>IF(VehiclesOutput!$B$4=0," ", VehiclesOutput!$B$4)</f>
        <v xml:space="preserve"> </v>
      </c>
      <c r="D23" s="18">
        <f>Vehicles!Q44</f>
        <v>0</v>
      </c>
    </row>
    <row r="24" spans="3:4" x14ac:dyDescent="0.25">
      <c r="C24" s="14" t="str">
        <f>IF(VehiclesOutput!$B$5=0," ", VehiclesOutput!$B$5)</f>
        <v xml:space="preserve"> </v>
      </c>
      <c r="D24" s="18">
        <f>Vehicles!Q45</f>
        <v>0</v>
      </c>
    </row>
    <row r="25" spans="3:4" x14ac:dyDescent="0.25">
      <c r="C25" s="14" t="str">
        <f>IF(VehiclesOutput!$B$6=0," ", VehiclesOutput!$B$6)</f>
        <v xml:space="preserve"> </v>
      </c>
      <c r="D25" s="18">
        <f>Vehicles!Q46</f>
        <v>0</v>
      </c>
    </row>
    <row r="26" spans="3:4" x14ac:dyDescent="0.25">
      <c r="C26" s="14" t="str">
        <f>IF(VehiclesOutput!$B$7=0," ", VehiclesOutput!$B$7)</f>
        <v xml:space="preserve"> </v>
      </c>
      <c r="D26" s="18">
        <f>Vehicles!Q47</f>
        <v>0</v>
      </c>
    </row>
    <row r="27" spans="3:4" x14ac:dyDescent="0.25">
      <c r="C27" s="14" t="str">
        <f>IF(VehiclesOutput!$B$8=0," ", VehiclesOutput!$B$8)</f>
        <v xml:space="preserve"> </v>
      </c>
      <c r="D27" s="18">
        <f>Vehicles!Q48</f>
        <v>0</v>
      </c>
    </row>
    <row r="28" spans="3:4" x14ac:dyDescent="0.25">
      <c r="C28" s="14" t="str">
        <f>IF(VehiclesOutput!$B$9=0," ", VehiclesOutput!$B$9)</f>
        <v xml:space="preserve"> </v>
      </c>
      <c r="D28" s="18">
        <f>Vehicles!Q49</f>
        <v>0</v>
      </c>
    </row>
    <row r="29" spans="3:4" x14ac:dyDescent="0.25">
      <c r="C29" s="14" t="str">
        <f>IF(VehiclesOutput!$B$10=0," ", VehiclesOutput!$B$10)</f>
        <v xml:space="preserve"> </v>
      </c>
      <c r="D29" s="18">
        <f>Vehicles!Q50</f>
        <v>0</v>
      </c>
    </row>
    <row r="30" spans="3:4" x14ac:dyDescent="0.25">
      <c r="C30" s="14" t="str">
        <f>IF(VehiclesOutput!$B$11=0," ", VehiclesOutput!$B$11)</f>
        <v xml:space="preserve"> </v>
      </c>
      <c r="D30" s="18">
        <f>Vehicles!Q51</f>
        <v>0</v>
      </c>
    </row>
    <row r="31" spans="3:4" x14ac:dyDescent="0.25">
      <c r="C31" s="1" t="s">
        <v>301</v>
      </c>
    </row>
    <row r="32" spans="3:4" x14ac:dyDescent="0.25">
      <c r="C32" s="14" t="str">
        <f>IF(NonVehicleSecured!E13&gt;0,NonVehicleSecured!E13," ")</f>
        <v xml:space="preserve"> </v>
      </c>
      <c r="D32" s="18">
        <f>NonVehicleSecured!P13</f>
        <v>0</v>
      </c>
    </row>
    <row r="33" spans="3:4" x14ac:dyDescent="0.25">
      <c r="C33" s="14" t="str">
        <f>IF(NonVehicleSecured!E14&gt;0,NonVehicleSecured!E14," ")</f>
        <v xml:space="preserve"> </v>
      </c>
      <c r="D33" s="18">
        <f>NonVehicleSecured!P14</f>
        <v>0</v>
      </c>
    </row>
    <row r="34" spans="3:4" x14ac:dyDescent="0.25">
      <c r="C34" s="14" t="str">
        <f>IF(NonVehicleSecured!E15&gt;0,NonVehicleSecured!E15," ")</f>
        <v xml:space="preserve"> </v>
      </c>
      <c r="D34" s="18">
        <f>NonVehicleSecured!P15</f>
        <v>0</v>
      </c>
    </row>
    <row r="35" spans="3:4" x14ac:dyDescent="0.25">
      <c r="C35" s="14" t="str">
        <f>IF(NonVehicleSecured!E16&gt;0,NonVehicleSecured!E16," ")</f>
        <v xml:space="preserve"> </v>
      </c>
      <c r="D35" s="18">
        <f>NonVehicleSecured!P16</f>
        <v>0</v>
      </c>
    </row>
    <row r="36" spans="3:4" x14ac:dyDescent="0.25">
      <c r="C36" s="14" t="str">
        <f>IF(NonVehicleSecured!E17&gt;0,NonVehicleSecured!E17," ")</f>
        <v xml:space="preserve"> </v>
      </c>
      <c r="D36" s="18">
        <f>NonVehicleSecured!P17</f>
        <v>0</v>
      </c>
    </row>
    <row r="37" spans="3:4" x14ac:dyDescent="0.25">
      <c r="C37" s="14" t="str">
        <f>IF(NonVehicleSecured!E18&gt;0,NonVehicleSecured!E18," ")</f>
        <v xml:space="preserve"> </v>
      </c>
      <c r="D37" s="18">
        <f>NonVehicleSecured!P18</f>
        <v>0</v>
      </c>
    </row>
    <row r="38" spans="3:4" x14ac:dyDescent="0.25">
      <c r="C38" s="14" t="str">
        <f>IF(NonVehicleSecured!E19&gt;0,NonVehicleSecured!E19," ")</f>
        <v xml:space="preserve"> </v>
      </c>
      <c r="D38" s="18">
        <f>NonVehicleSecured!P19</f>
        <v>0</v>
      </c>
    </row>
    <row r="39" spans="3:4" x14ac:dyDescent="0.25">
      <c r="C39" s="14" t="str">
        <f>IF(NonVehicleSecured!E20&gt;0,NonVehicleSecured!E20," ")</f>
        <v xml:space="preserve"> </v>
      </c>
      <c r="D39" s="18">
        <f>NonVehicleSecured!P20</f>
        <v>0</v>
      </c>
    </row>
    <row r="40" spans="3:4" x14ac:dyDescent="0.25">
      <c r="C40" s="14" t="str">
        <f>IF(NonVehicleSecured!E21&gt;0,NonVehicleSecured!E21," ")</f>
        <v xml:space="preserve"> </v>
      </c>
      <c r="D40" s="18">
        <f>NonVehicleSecured!P21</f>
        <v>0</v>
      </c>
    </row>
    <row r="41" spans="3:4" x14ac:dyDescent="0.25">
      <c r="C41" s="14" t="str">
        <f>IF(NonVehicleSecured!E22&gt;0,NonVehicleSecured!E22," ")</f>
        <v xml:space="preserve"> </v>
      </c>
      <c r="D41" s="18">
        <f>NonVehicleSecured!P22</f>
        <v>0</v>
      </c>
    </row>
    <row r="43" spans="3:4" x14ac:dyDescent="0.25">
      <c r="D43" s="18">
        <f>SUM(D7:D41)</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AnalysisMenu">
                <anchor moveWithCells="1">
                  <from>
                    <xdr:col>1</xdr:col>
                    <xdr:colOff>447675</xdr:colOff>
                    <xdr:row>2</xdr:row>
                    <xdr:rowOff>114300</xdr:rowOff>
                  </from>
                  <to>
                    <xdr:col>3</xdr:col>
                    <xdr:colOff>9525</xdr:colOff>
                    <xdr:row>3</xdr:row>
                    <xdr:rowOff>161925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9:T67"/>
  <sheetViews>
    <sheetView workbookViewId="0">
      <selection activeCell="U44" sqref="U44"/>
    </sheetView>
  </sheetViews>
  <sheetFormatPr defaultRowHeight="15" x14ac:dyDescent="0.25"/>
  <cols>
    <col min="2" max="2" width="13.5703125" customWidth="1"/>
    <col min="4" max="4" width="18" customWidth="1"/>
    <col min="5" max="5" width="17.28515625" customWidth="1"/>
    <col min="6" max="6" width="16.28515625" customWidth="1"/>
    <col min="7" max="7" width="12.5703125" customWidth="1"/>
    <col min="8" max="8" width="15.28515625" customWidth="1"/>
    <col min="9" max="9" width="20" customWidth="1"/>
    <col min="10" max="10" width="15.140625" customWidth="1"/>
    <col min="11" max="11" width="26" customWidth="1"/>
    <col min="12" max="12" width="27.42578125" customWidth="1"/>
    <col min="13" max="13" width="20.140625" customWidth="1"/>
    <col min="14" max="14" width="21.7109375" customWidth="1"/>
    <col min="15" max="15" width="22.42578125" customWidth="1"/>
    <col min="16" max="16" width="25.28515625" customWidth="1"/>
    <col min="17" max="17" width="17" customWidth="1"/>
    <col min="18" max="18" width="9.85546875" bestFit="1" customWidth="1"/>
    <col min="19" max="19" width="11.85546875" customWidth="1"/>
    <col min="20" max="20" width="12.7109375" customWidth="1"/>
  </cols>
  <sheetData>
    <row r="9" spans="4:10" x14ac:dyDescent="0.25">
      <c r="D9" s="1" t="s">
        <v>210</v>
      </c>
    </row>
    <row r="10" spans="4:10" x14ac:dyDescent="0.25">
      <c r="D10">
        <f>VehiclesOutput!$A$2</f>
        <v>0</v>
      </c>
    </row>
    <row r="14" spans="4:10" x14ac:dyDescent="0.25">
      <c r="E14" s="1" t="s">
        <v>180</v>
      </c>
      <c r="F14" s="1" t="s">
        <v>185</v>
      </c>
      <c r="G14" s="1" t="s">
        <v>184</v>
      </c>
      <c r="H14" s="1" t="s">
        <v>183</v>
      </c>
      <c r="I14" s="1" t="s">
        <v>182</v>
      </c>
      <c r="J14" s="1" t="s">
        <v>181</v>
      </c>
    </row>
    <row r="15" spans="4:10" x14ac:dyDescent="0.25">
      <c r="E15">
        <f>VehiclesOutput!$B$2</f>
        <v>0</v>
      </c>
      <c r="F15">
        <f>VehiclesOutput!$C$2</f>
        <v>0</v>
      </c>
      <c r="G15">
        <f>VehiclesOutput!$D$2</f>
        <v>0</v>
      </c>
      <c r="H15">
        <f>VehiclesOutput!$E$2</f>
        <v>0</v>
      </c>
      <c r="I15">
        <f>VehiclesOutput!$F$2</f>
        <v>0</v>
      </c>
      <c r="J15">
        <f>VehiclesOutput!$G$2</f>
        <v>0</v>
      </c>
    </row>
    <row r="16" spans="4:10" x14ac:dyDescent="0.25">
      <c r="E16">
        <f>VehiclesOutput!$B$3</f>
        <v>0</v>
      </c>
      <c r="F16">
        <f>VehiclesOutput!$C$3</f>
        <v>0</v>
      </c>
      <c r="G16">
        <f>VehiclesOutput!$D$3</f>
        <v>0</v>
      </c>
      <c r="H16">
        <f>VehiclesOutput!$E$3</f>
        <v>0</v>
      </c>
      <c r="I16">
        <f>VehiclesOutput!$F$3</f>
        <v>0</v>
      </c>
      <c r="J16">
        <f>VehiclesOutput!$G$3</f>
        <v>0</v>
      </c>
    </row>
    <row r="17" spans="4:13" x14ac:dyDescent="0.25">
      <c r="E17">
        <f>VehiclesOutput!$B$4</f>
        <v>0</v>
      </c>
      <c r="F17">
        <f>VehiclesOutput!$C$4</f>
        <v>0</v>
      </c>
      <c r="G17">
        <f>VehiclesOutput!$D$4</f>
        <v>0</v>
      </c>
      <c r="H17">
        <f>VehiclesOutput!$E$4</f>
        <v>0</v>
      </c>
      <c r="I17">
        <f>VehiclesOutput!$F$4</f>
        <v>0</v>
      </c>
      <c r="J17">
        <f>VehiclesOutput!$G$4</f>
        <v>0</v>
      </c>
    </row>
    <row r="18" spans="4:13" x14ac:dyDescent="0.25">
      <c r="E18">
        <f>VehiclesOutput!$B$5</f>
        <v>0</v>
      </c>
      <c r="F18">
        <f>VehiclesOutput!$C$5</f>
        <v>0</v>
      </c>
      <c r="G18">
        <f>VehiclesOutput!$D$5</f>
        <v>0</v>
      </c>
      <c r="H18">
        <f>VehiclesOutput!$E$5</f>
        <v>0</v>
      </c>
      <c r="I18">
        <f>VehiclesOutput!$F$5</f>
        <v>0</v>
      </c>
      <c r="J18">
        <f>VehiclesOutput!$G$5</f>
        <v>0</v>
      </c>
    </row>
    <row r="19" spans="4:13" x14ac:dyDescent="0.25">
      <c r="E19">
        <f>VehiclesOutput!$B$6</f>
        <v>0</v>
      </c>
      <c r="F19">
        <f>VehiclesOutput!$C$6</f>
        <v>0</v>
      </c>
      <c r="G19">
        <f>VehiclesOutput!$D$6</f>
        <v>0</v>
      </c>
      <c r="H19">
        <f>VehiclesOutput!$E$6</f>
        <v>0</v>
      </c>
      <c r="I19">
        <f>VehiclesOutput!$F$6</f>
        <v>0</v>
      </c>
      <c r="J19">
        <f>VehiclesOutput!$G$6</f>
        <v>0</v>
      </c>
    </row>
    <row r="20" spans="4:13" x14ac:dyDescent="0.25">
      <c r="E20">
        <f>VehiclesOutput!$B$7</f>
        <v>0</v>
      </c>
      <c r="F20">
        <f>VehiclesOutput!$C$7</f>
        <v>0</v>
      </c>
      <c r="G20">
        <f>VehiclesOutput!$D$7</f>
        <v>0</v>
      </c>
      <c r="H20">
        <f>VehiclesOutput!$E$7</f>
        <v>0</v>
      </c>
      <c r="I20">
        <f>VehiclesOutput!$F$7</f>
        <v>0</v>
      </c>
      <c r="J20">
        <f>VehiclesOutput!$G$7</f>
        <v>0</v>
      </c>
    </row>
    <row r="21" spans="4:13" x14ac:dyDescent="0.25">
      <c r="E21">
        <f>VehiclesOutput!$B$8</f>
        <v>0</v>
      </c>
      <c r="F21">
        <f>VehiclesOutput!$C$8</f>
        <v>0</v>
      </c>
      <c r="G21">
        <f>VehiclesOutput!$D$8</f>
        <v>0</v>
      </c>
      <c r="H21">
        <f>VehiclesOutput!$E$8</f>
        <v>0</v>
      </c>
      <c r="I21">
        <f>VehiclesOutput!$F$8</f>
        <v>0</v>
      </c>
      <c r="J21">
        <f>VehiclesOutput!$G$8</f>
        <v>0</v>
      </c>
    </row>
    <row r="22" spans="4:13" x14ac:dyDescent="0.25">
      <c r="E22">
        <f>VehiclesOutput!$B$9</f>
        <v>0</v>
      </c>
      <c r="F22">
        <f>VehiclesOutput!$C$9</f>
        <v>0</v>
      </c>
      <c r="G22">
        <f>VehiclesOutput!$D$9</f>
        <v>0</v>
      </c>
      <c r="H22">
        <f>VehiclesOutput!$E$9</f>
        <v>0</v>
      </c>
      <c r="I22">
        <f>VehiclesOutput!$F$9</f>
        <v>0</v>
      </c>
      <c r="J22">
        <f>VehiclesOutput!$G$9</f>
        <v>0</v>
      </c>
    </row>
    <row r="23" spans="4:13" x14ac:dyDescent="0.25">
      <c r="E23">
        <f>VehiclesOutput!$B$10</f>
        <v>0</v>
      </c>
      <c r="F23">
        <f>VehiclesOutput!$C$10</f>
        <v>0</v>
      </c>
      <c r="G23">
        <f>VehiclesOutput!$D$10</f>
        <v>0</v>
      </c>
      <c r="H23">
        <f>VehiclesOutput!$E$10</f>
        <v>0</v>
      </c>
      <c r="I23">
        <f>VehiclesOutput!$F$10</f>
        <v>0</v>
      </c>
      <c r="J23">
        <f>VehiclesOutput!$G$10</f>
        <v>0</v>
      </c>
    </row>
    <row r="24" spans="4:13" x14ac:dyDescent="0.25">
      <c r="E24">
        <f>VehiclesOutput!$B$11</f>
        <v>0</v>
      </c>
      <c r="F24">
        <f>VehiclesOutput!$C$11</f>
        <v>0</v>
      </c>
      <c r="G24">
        <f>VehiclesOutput!$D$11</f>
        <v>0</v>
      </c>
      <c r="H24">
        <f>VehiclesOutput!$E$11</f>
        <v>0</v>
      </c>
      <c r="I24">
        <f>VehiclesOutput!$F$11</f>
        <v>0</v>
      </c>
      <c r="J24">
        <f>VehiclesOutput!$G$11</f>
        <v>0</v>
      </c>
    </row>
    <row r="26" spans="4:13" x14ac:dyDescent="0.25">
      <c r="D26" s="3" t="s">
        <v>180</v>
      </c>
      <c r="E26" s="3" t="s">
        <v>179</v>
      </c>
      <c r="F26" s="3" t="s">
        <v>81</v>
      </c>
      <c r="G26" s="3" t="s">
        <v>178</v>
      </c>
      <c r="H26" s="3" t="s">
        <v>1</v>
      </c>
      <c r="I26" s="3" t="s">
        <v>177</v>
      </c>
      <c r="J26" s="3" t="s">
        <v>78</v>
      </c>
      <c r="K26" s="3" t="s">
        <v>176</v>
      </c>
      <c r="L26" s="3" t="s">
        <v>175</v>
      </c>
      <c r="M26" s="3" t="s">
        <v>174</v>
      </c>
    </row>
    <row r="28" spans="4:13" x14ac:dyDescent="0.25">
      <c r="D28">
        <f>VehicleLoansOutput!$B$2</f>
        <v>0</v>
      </c>
      <c r="E28">
        <f>VehicleLoansOutput!$C$2</f>
        <v>0</v>
      </c>
      <c r="F28">
        <f>VehicleLoansOutput!$D$2</f>
        <v>0</v>
      </c>
      <c r="G28" s="4">
        <f>VehicleLoansOutput!$E$2</f>
        <v>0</v>
      </c>
      <c r="H28" s="4">
        <f>VehicleLoansOutput!$F$2</f>
        <v>0</v>
      </c>
      <c r="I28">
        <f>VehicleLoansOutput!$G$2</f>
        <v>0</v>
      </c>
      <c r="J28">
        <f>VehicleLoansOutput!$H$2</f>
        <v>0</v>
      </c>
      <c r="K28">
        <f>VehicleLoansOutput!$I$2</f>
        <v>0</v>
      </c>
      <c r="L28">
        <f>VehicleLoansOutput!$J$2</f>
        <v>0</v>
      </c>
      <c r="M28">
        <f>VehicleLoansOutput!$K$2</f>
        <v>0</v>
      </c>
    </row>
    <row r="29" spans="4:13" x14ac:dyDescent="0.25">
      <c r="D29">
        <f>VehicleLoansOutput!$B$3</f>
        <v>0</v>
      </c>
      <c r="E29">
        <f>VehicleLoansOutput!$C$3</f>
        <v>0</v>
      </c>
      <c r="F29">
        <f>VehicleLoansOutput!$D$3</f>
        <v>0</v>
      </c>
      <c r="G29" s="4">
        <f>VehicleLoansOutput!$E$3</f>
        <v>0</v>
      </c>
      <c r="H29" s="4">
        <f>VehicleLoansOutput!$F$3</f>
        <v>0</v>
      </c>
      <c r="I29">
        <f>VehicleLoansOutput!$G$3</f>
        <v>0</v>
      </c>
      <c r="J29">
        <f>VehicleLoansOutput!$H$3</f>
        <v>0</v>
      </c>
      <c r="K29">
        <f>VehicleLoansOutput!$I$3</f>
        <v>0</v>
      </c>
      <c r="L29">
        <f>VehicleLoansOutput!$J$3</f>
        <v>0</v>
      </c>
      <c r="M29">
        <f>VehicleLoansOutput!$K$3</f>
        <v>0</v>
      </c>
    </row>
    <row r="30" spans="4:13" x14ac:dyDescent="0.25">
      <c r="D30">
        <f>VehicleLoansOutput!$B$4</f>
        <v>0</v>
      </c>
      <c r="E30">
        <f>VehicleLoansOutput!$C$4</f>
        <v>0</v>
      </c>
      <c r="F30">
        <f>VehicleLoansOutput!$D$4</f>
        <v>0</v>
      </c>
      <c r="G30" s="4">
        <f>VehicleLoansOutput!$E$4</f>
        <v>0</v>
      </c>
      <c r="H30" s="4">
        <f>VehicleLoansOutput!$F$4</f>
        <v>0</v>
      </c>
      <c r="I30">
        <f>VehicleLoansOutput!$G$4</f>
        <v>0</v>
      </c>
      <c r="J30">
        <f>VehicleLoansOutput!$H$4</f>
        <v>0</v>
      </c>
      <c r="K30">
        <f>VehicleLoansOutput!$I$4</f>
        <v>0</v>
      </c>
      <c r="L30">
        <f>VehicleLoansOutput!$J$4</f>
        <v>0</v>
      </c>
      <c r="M30">
        <f>VehicleLoansOutput!$K$4</f>
        <v>0</v>
      </c>
    </row>
    <row r="31" spans="4:13" x14ac:dyDescent="0.25">
      <c r="D31">
        <f>VehicleLoansOutput!$B$5</f>
        <v>0</v>
      </c>
      <c r="E31">
        <f>VehicleLoansOutput!$C$5</f>
        <v>0</v>
      </c>
      <c r="F31">
        <f>VehicleLoansOutput!$D$5</f>
        <v>0</v>
      </c>
      <c r="G31" s="4">
        <f>VehicleLoansOutput!$E$5</f>
        <v>0</v>
      </c>
      <c r="H31" s="4">
        <f>VehicleLoansOutput!$F$5</f>
        <v>0</v>
      </c>
      <c r="I31">
        <f>VehicleLoansOutput!$G$5</f>
        <v>0</v>
      </c>
      <c r="J31">
        <f>VehicleLoansOutput!$H$5</f>
        <v>0</v>
      </c>
      <c r="K31">
        <f>VehicleLoansOutput!$I$5</f>
        <v>0</v>
      </c>
      <c r="L31">
        <f>VehicleLoansOutput!$J$5</f>
        <v>0</v>
      </c>
      <c r="M31">
        <f>VehicleLoansOutput!$K$5</f>
        <v>0</v>
      </c>
    </row>
    <row r="32" spans="4:13" x14ac:dyDescent="0.25">
      <c r="D32">
        <f>VehicleLoansOutput!$B$6</f>
        <v>0</v>
      </c>
      <c r="E32">
        <f>VehicleLoansOutput!$C$6</f>
        <v>0</v>
      </c>
      <c r="F32">
        <f>VehicleLoansOutput!$D$6</f>
        <v>0</v>
      </c>
      <c r="G32" s="4">
        <f>VehicleLoansOutput!$E$6</f>
        <v>0</v>
      </c>
      <c r="H32" s="4">
        <f>VehicleLoansOutput!$F$6</f>
        <v>0</v>
      </c>
      <c r="I32">
        <f>VehicleLoansOutput!$G$6</f>
        <v>0</v>
      </c>
      <c r="J32">
        <f>VehicleLoansOutput!$H$6</f>
        <v>0</v>
      </c>
      <c r="K32">
        <f>VehicleLoansOutput!$I$6</f>
        <v>0</v>
      </c>
      <c r="L32">
        <f>VehicleLoansOutput!$J$6</f>
        <v>0</v>
      </c>
      <c r="M32">
        <f>VehicleLoansOutput!$K$6</f>
        <v>0</v>
      </c>
    </row>
    <row r="33" spans="3:20" x14ac:dyDescent="0.25">
      <c r="D33">
        <f>VehicleLoansOutput!$B$7</f>
        <v>0</v>
      </c>
      <c r="E33">
        <f>VehicleLoansOutput!$C$7</f>
        <v>0</v>
      </c>
      <c r="F33">
        <f>VehicleLoansOutput!$D$7</f>
        <v>0</v>
      </c>
      <c r="G33" s="4">
        <f>VehicleLoansOutput!$E$7</f>
        <v>0</v>
      </c>
      <c r="H33" s="4">
        <f>VehicleLoansOutput!$F$7</f>
        <v>0</v>
      </c>
      <c r="I33">
        <f>VehicleLoansOutput!$G$7</f>
        <v>0</v>
      </c>
      <c r="J33">
        <f>VehicleLoansOutput!$H$7</f>
        <v>0</v>
      </c>
      <c r="K33">
        <f>VehicleLoansOutput!$I$7</f>
        <v>0</v>
      </c>
      <c r="L33">
        <f>VehicleLoansOutput!$J$7</f>
        <v>0</v>
      </c>
      <c r="M33">
        <f>VehicleLoansOutput!$K$7</f>
        <v>0</v>
      </c>
    </row>
    <row r="34" spans="3:20" x14ac:dyDescent="0.25">
      <c r="D34">
        <f>VehicleLoansOutput!$B$8</f>
        <v>0</v>
      </c>
      <c r="E34">
        <f>VehicleLoansOutput!$C$8</f>
        <v>0</v>
      </c>
      <c r="F34">
        <f>VehicleLoansOutput!$D$8</f>
        <v>0</v>
      </c>
      <c r="G34" s="4">
        <f>VehicleLoansOutput!$E$8</f>
        <v>0</v>
      </c>
      <c r="H34" s="4">
        <f>VehicleLoansOutput!$F$8</f>
        <v>0</v>
      </c>
      <c r="I34">
        <f>VehicleLoansOutput!$G$8</f>
        <v>0</v>
      </c>
      <c r="J34">
        <f>VehicleLoansOutput!$H$8</f>
        <v>0</v>
      </c>
      <c r="K34">
        <f>VehicleLoansOutput!$I$8</f>
        <v>0</v>
      </c>
      <c r="L34">
        <f>VehicleLoansOutput!$J$8</f>
        <v>0</v>
      </c>
      <c r="M34">
        <f>VehicleLoansOutput!$K$8</f>
        <v>0</v>
      </c>
    </row>
    <row r="35" spans="3:20" x14ac:dyDescent="0.25">
      <c r="D35">
        <f>VehicleLoansOutput!$B$9</f>
        <v>0</v>
      </c>
      <c r="E35">
        <f>VehicleLoansOutput!$C$9</f>
        <v>0</v>
      </c>
      <c r="F35">
        <f>VehicleLoansOutput!$D$9</f>
        <v>0</v>
      </c>
      <c r="G35" s="4">
        <f>VehicleLoansOutput!$E$9</f>
        <v>0</v>
      </c>
      <c r="H35" s="4">
        <f>VehicleLoansOutput!$F$9</f>
        <v>0</v>
      </c>
      <c r="I35">
        <f>VehicleLoansOutput!$G$9</f>
        <v>0</v>
      </c>
      <c r="J35">
        <f>VehicleLoansOutput!$H$9</f>
        <v>0</v>
      </c>
      <c r="K35">
        <f>VehicleLoansOutput!$I$9</f>
        <v>0</v>
      </c>
      <c r="L35">
        <f>VehicleLoansOutput!$J$9</f>
        <v>0</v>
      </c>
      <c r="M35">
        <f>VehicleLoansOutput!$K$9</f>
        <v>0</v>
      </c>
      <c r="P35" s="13"/>
    </row>
    <row r="36" spans="3:20" x14ac:dyDescent="0.25">
      <c r="D36">
        <f>VehicleLoansOutput!$B$10</f>
        <v>0</v>
      </c>
      <c r="E36">
        <f>VehicleLoansOutput!$C$10</f>
        <v>0</v>
      </c>
      <c r="F36">
        <f>VehicleLoansOutput!$D$10</f>
        <v>0</v>
      </c>
      <c r="G36" s="4">
        <f>VehicleLoansOutput!$E$10</f>
        <v>0</v>
      </c>
      <c r="H36" s="4">
        <f>VehicleLoansOutput!$F$10</f>
        <v>0</v>
      </c>
      <c r="I36">
        <f>VehicleLoansOutput!$G$10</f>
        <v>0</v>
      </c>
      <c r="J36">
        <f>VehicleLoansOutput!$H$10</f>
        <v>0</v>
      </c>
      <c r="K36">
        <f>VehicleLoansOutput!$I$10</f>
        <v>0</v>
      </c>
      <c r="L36">
        <f>VehicleLoansOutput!$J$10</f>
        <v>0</v>
      </c>
      <c r="M36">
        <f>VehicleLoansOutput!$K$10</f>
        <v>0</v>
      </c>
      <c r="P36" s="13"/>
    </row>
    <row r="37" spans="3:20" x14ac:dyDescent="0.25">
      <c r="D37">
        <f>VehicleLoansOutput!$B$11</f>
        <v>0</v>
      </c>
      <c r="E37">
        <f>VehicleLoansOutput!$C$11</f>
        <v>0</v>
      </c>
      <c r="F37">
        <f>VehicleLoansOutput!$D$11</f>
        <v>0</v>
      </c>
      <c r="G37" s="4">
        <f>VehicleLoansOutput!$E$11</f>
        <v>0</v>
      </c>
      <c r="H37" s="4">
        <f>VehicleLoansOutput!$F$11</f>
        <v>0</v>
      </c>
      <c r="I37">
        <f>VehicleLoansOutput!$G$11</f>
        <v>0</v>
      </c>
      <c r="J37">
        <f>VehicleLoansOutput!$H$11</f>
        <v>0</v>
      </c>
      <c r="K37">
        <f>VehicleLoansOutput!$I$11</f>
        <v>0</v>
      </c>
      <c r="L37">
        <f>VehicleLoansOutput!$J$11</f>
        <v>0</v>
      </c>
      <c r="M37">
        <f>VehicleLoansOutput!$K$11</f>
        <v>0</v>
      </c>
    </row>
    <row r="38" spans="3:20" x14ac:dyDescent="0.25">
      <c r="T38" s="8"/>
    </row>
    <row r="39" spans="3:20" x14ac:dyDescent="0.25">
      <c r="E39" s="8"/>
      <c r="F39" s="8"/>
      <c r="G39" s="8" t="s">
        <v>266</v>
      </c>
      <c r="H39" s="8"/>
      <c r="M39" s="8" t="s">
        <v>269</v>
      </c>
      <c r="N39" s="8" t="s">
        <v>269</v>
      </c>
      <c r="Q39" s="8" t="s">
        <v>192</v>
      </c>
      <c r="R39" s="8" t="s">
        <v>275</v>
      </c>
      <c r="T39" s="8"/>
    </row>
    <row r="40" spans="3:20" x14ac:dyDescent="0.25">
      <c r="D40" s="8" t="s">
        <v>180</v>
      </c>
      <c r="E40" s="8" t="s">
        <v>146</v>
      </c>
      <c r="F40" s="8" t="s">
        <v>69</v>
      </c>
      <c r="G40" s="8" t="s">
        <v>267</v>
      </c>
      <c r="H40" s="8" t="s">
        <v>71</v>
      </c>
      <c r="I40" s="8" t="s">
        <v>268</v>
      </c>
      <c r="J40" s="8" t="s">
        <v>195</v>
      </c>
      <c r="K40" s="8" t="s">
        <v>270</v>
      </c>
      <c r="L40" s="8" t="s">
        <v>271</v>
      </c>
      <c r="M40" s="20" t="s">
        <v>272</v>
      </c>
      <c r="N40" s="20" t="s">
        <v>169</v>
      </c>
      <c r="O40" s="8" t="s">
        <v>269</v>
      </c>
      <c r="P40" s="8" t="s">
        <v>273</v>
      </c>
      <c r="Q40" s="8" t="s">
        <v>274</v>
      </c>
      <c r="R40" s="8" t="s">
        <v>274</v>
      </c>
      <c r="T40" s="8"/>
    </row>
    <row r="42" spans="3:20" x14ac:dyDescent="0.25">
      <c r="C42" s="14">
        <f>IF(E42&gt;0,1,0)</f>
        <v>0</v>
      </c>
      <c r="D42" s="14" t="str">
        <f>IF(VehiclesOutput!$B$2=0," ", VehiclesOutput!$B$2)</f>
        <v xml:space="preserve"> </v>
      </c>
      <c r="E42" s="18">
        <f>JohnsInput!$B$34</f>
        <v>0</v>
      </c>
      <c r="F42" s="18">
        <f>IF(AND($D$28=D42,$F$28="First"),$H$28,IF(AND($D$29=D42,$F$29="First"),$H$29,IF(AND($D$30=D42,$F$30="First"),$H$30,IF(AND($D$31=D42,$F$31="First"),$H$31,IF(AND($D$32=D42,$F$32="First"),$H$32,IF(AND($D$33=D42,$F$33="First"),$H$33,IF(AND($D$34=D42,$F$34="First"),$H$34,IF(AND($D$35=D42,$F$35="First"),$H$35,IF(AND($D$36=D42,$F$36="First"),$H$36,IF(AND($D$37=D42,$F$37="First"),$H$37,0))))))))))</f>
        <v>0</v>
      </c>
      <c r="G42" s="18">
        <f>IF((E42-F42)&gt;0,(E42-F42),0)</f>
        <v>0</v>
      </c>
      <c r="H42" s="18">
        <f>IF(AND($D$28=D42,$F$28="Second"),$H$28,IF(AND($D$29=D42,$F$29="Second"),$H$29,IF(AND($D$30=D42,$F$30="Second"),$H$30,IF(AND($D$31=D42,$F$31="Second"),$H$31,IF(AND($D$32=D42,$F$32="Second"),$H$32,IF(AND($D$33=D42,$F$33="Second"),$H$33,IF(AND($D$34=D42,$F$34="Second"),$H$34,IF(AND($D$35=D42,$F$35="Second"),$H$35,IF(AND($D$36=D42,$F$36="Second"),$H$36,IF(AND($D$37=D42,$F$37="Second"),$H$37,0))))))))))</f>
        <v>0</v>
      </c>
      <c r="I42" s="18">
        <f>F42+H42</f>
        <v>0</v>
      </c>
      <c r="J42" s="18">
        <f>IF((E42-I42)&gt;0,(E42-I42),0)</f>
        <v>0</v>
      </c>
      <c r="K42" s="18" t="str">
        <f>IF(AND($D$28=D42,$F$28="First"),$I$28,IF(AND($D$29=D42,$F$29="First"),$I$29,IF(AND($D$30=D42,$F$30="First"),$I$30,IF(AND($D$31=D42,$F$31="First"),$I$31,IF(AND($D$32=D42,$F$32="First"),$I$32,IF(AND($D$33=D42,$F$33="First"),$I$33,IF(AND($D$34=D42,$F$34="First"),$I$34,IF(AND($D$35=D42,$F$35="First"),$I$35,IF(AND($D$36=D42,$F$36="First"),$I$36,IF(AND($D$37=D42,$F$37="First"),$I$37," "))))))))))</f>
        <v xml:space="preserve"> </v>
      </c>
      <c r="L42" s="14" t="str">
        <f>IF(AND($D$28=D42,$F$28="First"),$L$28,IF(AND($D$29=D42,$F$29="First"),$L$29,IF(AND($D$30=D42,$F$30="First"),$L$30,IF(AND($D$31=D42,$F$31="First"),$L$31,IF(AND($D$32=D42,$F$32="First"),$L$32,IF(AND($D$33=D42,$F$33="First"),$L$33,IF(AND($D$34=D42,$F$34="First"),$L$34,IF(AND($D$35=D42,$F$35="First"),$L$35,IF(AND($D$36=D42,$F$36="First"),$L$36,IF(AND($D$37=D42,$F$37="First"),$L$37," "))))))))))</f>
        <v xml:space="preserve"> </v>
      </c>
      <c r="M42" s="14" t="str">
        <f>IF(OR(K42="About 2 1/2 Years Ago",K42="About 3 Years Ago", K42="Over 3 Years Ago"),"Yes","No")</f>
        <v>No</v>
      </c>
      <c r="N42" s="14" t="str">
        <f>IF(L42="For Collateral","Yes","No")</f>
        <v>No</v>
      </c>
      <c r="O42" s="14" t="str">
        <f>IF(OR(M42="Yes",N42="Yes"),"Yes","No")</f>
        <v>No</v>
      </c>
      <c r="P42" s="18">
        <f>IF(E42&lt;I42,E42,I42)</f>
        <v>0</v>
      </c>
      <c r="Q42" s="18">
        <f>IF(O42="Yes",E42-P42,0)</f>
        <v>0</v>
      </c>
      <c r="R42" s="22">
        <f t="shared" ref="R42:R51" si="0">IF(O42="No",F42,P42)</f>
        <v>0</v>
      </c>
      <c r="T42" s="21"/>
    </row>
    <row r="43" spans="3:20" x14ac:dyDescent="0.25">
      <c r="C43" s="14">
        <f t="shared" ref="C43:C51" si="1">IF(E43&gt;0,1,0)</f>
        <v>0</v>
      </c>
      <c r="D43" s="14" t="str">
        <f>IF(VehiclesOutput!$B$3=0," ", VehiclesOutput!$B$3)</f>
        <v xml:space="preserve"> </v>
      </c>
      <c r="E43" s="18">
        <f>JohnsInput!$B$35</f>
        <v>0</v>
      </c>
      <c r="F43" s="18">
        <f t="shared" ref="F43:F51" si="2">IF(AND($D$28=D43,$F$28="First"),$H$28,IF(AND($D$29=D43,$F$29="First"),$H$29,IF(AND($D$30=D43,$F$30="First"),$H$30,IF(AND($D$31=D43,$F$31="First"),$H$31,IF(AND($D$32=D43,$F$32="First"),$H$32,IF(AND($D$33=D43,$F$33="First"),$H$33,IF(AND($D$34=D43,$F$34="First"),$H$34,IF(AND($D$35=D43,$F$35="First"),$H$35,IF(AND($D$36=D43,$F$36="First"),$H$36,IF(AND($D$37=D43,$F$37="First"),$H$37,0))))))))))</f>
        <v>0</v>
      </c>
      <c r="G43" s="18">
        <f t="shared" ref="G43:G51" si="3">IF((E43-F43)&gt;0,(E43-F43),0)</f>
        <v>0</v>
      </c>
      <c r="H43" s="18">
        <f t="shared" ref="H43:H51" si="4">IF(AND($D$28=D43,$F$28="Second"),$H$28,IF(AND($D$29=D43,$F$29="Second"),$H$29,IF(AND($D$30=D43,$F$30="Second"),$H$30,IF(AND($D$31=D43,$F$31="Second"),$H$31,IF(AND($D$32=D43,$F$32="Second"),$H$32,IF(AND($D$33=D43,$F$33="Second"),$H$33,IF(AND($D$34=D43,$F$34="Second"),$H$34,IF(AND($D$35=D43,$F$35="Second"),$H$35,IF(AND($D$36=D43,$F$36="Second"),$H$36,IF(AND($D$37=D43,$F$37="Second"),$H$37,0))))))))))</f>
        <v>0</v>
      </c>
      <c r="I43" s="18">
        <f t="shared" ref="I43:I51" si="5">F43+H43</f>
        <v>0</v>
      </c>
      <c r="J43" s="18">
        <f t="shared" ref="J43:J51" si="6">IF((E43-I43)&gt;0,(E43-I43),0)</f>
        <v>0</v>
      </c>
      <c r="K43" s="18" t="str">
        <f t="shared" ref="K43:K51" si="7">IF(AND($D$28=D43,$F$28="First"),$I$28,IF(AND($D$29=D43,$F$29="First"),$I$29,IF(AND($D$30=D43,$F$30="First"),$I$30,IF(AND($D$31=D43,$F$31="First"),$I$31,IF(AND($D$32=D43,$F$32="First"),$I$32,IF(AND($D$33=D43,$F$33="First"),$I$33,IF(AND($D$34=D43,$F$34="First"),$I$34,IF(AND($D$35=D43,$F$35="First"),$I$35,IF(AND($D$36=D43,$F$36="First"),$I$36,IF(AND($D$37=D43,$F$37="First"),$I$37," "))))))))))</f>
        <v xml:space="preserve"> </v>
      </c>
      <c r="L43" s="14" t="str">
        <f t="shared" ref="L43:L51" si="8">IF(AND($D$28=D43,$F$28="First"),$L$28,IF(AND($D$29=D43,$F$29="First"),$L$29,IF(AND($D$30=D43,$F$30="First"),$L$30,IF(AND($D$31=D43,$F$31="First"),$L$31,IF(AND($D$32=D43,$F$32="First"),$L$32,IF(AND($D$33=D43,$F$33="First"),$L$33,IF(AND($D$34=D43,$F$34="First"),$L$34,IF(AND($D$35=D43,$F$35="First"),$L$35,IF(AND($D$36=D43,$F$36="First"),$L$36,IF(AND($D$37=D43,$F$37="First"),$L$37," "))))))))))</f>
        <v xml:space="preserve"> </v>
      </c>
      <c r="M43" s="14" t="str">
        <f>IF(OR(K43="About 2 1/2 Years Ago",K43="About 3 Years Ago", K43="Over 3 Years Ago"),"Yes","No")</f>
        <v>No</v>
      </c>
      <c r="N43" s="14" t="str">
        <f>IF(L43="For Collateral","Yes","No")</f>
        <v>No</v>
      </c>
      <c r="O43" s="14" t="str">
        <f t="shared" ref="O43:O51" si="9">IF(OR(M43="Yes",N43="Yes"),"Yes","No")</f>
        <v>No</v>
      </c>
      <c r="P43" s="18">
        <f>IF(E43&lt;I43,E43,I43)</f>
        <v>0</v>
      </c>
      <c r="Q43" s="18">
        <f>IF(O43="Yes",E43-P43,0)</f>
        <v>0</v>
      </c>
      <c r="R43" s="22">
        <f t="shared" si="0"/>
        <v>0</v>
      </c>
      <c r="T43" s="21"/>
    </row>
    <row r="44" spans="3:20" x14ac:dyDescent="0.25">
      <c r="C44" s="14">
        <f t="shared" si="1"/>
        <v>0</v>
      </c>
      <c r="D44" s="14" t="str">
        <f>IF(VehiclesOutput!$B$4=0," ", VehiclesOutput!$B$4)</f>
        <v xml:space="preserve"> </v>
      </c>
      <c r="E44" s="18">
        <f>JohnsInput!$B$36</f>
        <v>0</v>
      </c>
      <c r="F44" s="18">
        <f t="shared" si="2"/>
        <v>0</v>
      </c>
      <c r="G44" s="18">
        <f t="shared" si="3"/>
        <v>0</v>
      </c>
      <c r="H44" s="18">
        <f t="shared" si="4"/>
        <v>0</v>
      </c>
      <c r="I44" s="18">
        <f t="shared" si="5"/>
        <v>0</v>
      </c>
      <c r="J44" s="18">
        <f t="shared" si="6"/>
        <v>0</v>
      </c>
      <c r="K44" s="18" t="str">
        <f t="shared" si="7"/>
        <v xml:space="preserve"> </v>
      </c>
      <c r="L44" s="14" t="str">
        <f t="shared" si="8"/>
        <v xml:space="preserve"> </v>
      </c>
      <c r="M44" s="14" t="str">
        <f t="shared" ref="M44:M51" si="10">IF(OR(K44="About 2 1/2 Years Ago",K44="About 3 Years Ago", K44="Over 3 Years Ago"),"Yes","No")</f>
        <v>No</v>
      </c>
      <c r="N44" s="14" t="str">
        <f t="shared" ref="N44:N51" si="11">IF(L44="For Collateral","Yes","No")</f>
        <v>No</v>
      </c>
      <c r="O44" s="14" t="str">
        <f t="shared" si="9"/>
        <v>No</v>
      </c>
      <c r="P44" s="18">
        <f t="shared" ref="P44:P51" si="12">IF(E44&lt;I44,E44,I44)</f>
        <v>0</v>
      </c>
      <c r="Q44" s="18">
        <f t="shared" ref="Q44:Q51" si="13">IF(O44="Yes",E44-P44,0)</f>
        <v>0</v>
      </c>
      <c r="R44" s="22">
        <f t="shared" si="0"/>
        <v>0</v>
      </c>
      <c r="T44" s="21"/>
    </row>
    <row r="45" spans="3:20" x14ac:dyDescent="0.25">
      <c r="C45" s="14">
        <f t="shared" si="1"/>
        <v>0</v>
      </c>
      <c r="D45" s="14" t="str">
        <f>IF(VehiclesOutput!$B$5=0," ", VehiclesOutput!$B$5)</f>
        <v xml:space="preserve"> </v>
      </c>
      <c r="E45" s="18">
        <f>JohnsInput!$B$37</f>
        <v>0</v>
      </c>
      <c r="F45" s="18">
        <f t="shared" si="2"/>
        <v>0</v>
      </c>
      <c r="G45" s="18">
        <f t="shared" si="3"/>
        <v>0</v>
      </c>
      <c r="H45" s="18">
        <f t="shared" si="4"/>
        <v>0</v>
      </c>
      <c r="I45" s="18">
        <f t="shared" si="5"/>
        <v>0</v>
      </c>
      <c r="J45" s="18">
        <f t="shared" si="6"/>
        <v>0</v>
      </c>
      <c r="K45" s="18" t="str">
        <f t="shared" si="7"/>
        <v xml:space="preserve"> </v>
      </c>
      <c r="L45" s="14" t="str">
        <f t="shared" si="8"/>
        <v xml:space="preserve"> </v>
      </c>
      <c r="M45" s="14" t="str">
        <f t="shared" si="10"/>
        <v>No</v>
      </c>
      <c r="N45" s="14" t="str">
        <f t="shared" si="11"/>
        <v>No</v>
      </c>
      <c r="O45" s="14" t="str">
        <f t="shared" si="9"/>
        <v>No</v>
      </c>
      <c r="P45" s="18">
        <f t="shared" si="12"/>
        <v>0</v>
      </c>
      <c r="Q45" s="18">
        <f t="shared" si="13"/>
        <v>0</v>
      </c>
      <c r="R45" s="22">
        <f t="shared" si="0"/>
        <v>0</v>
      </c>
      <c r="T45" s="21"/>
    </row>
    <row r="46" spans="3:20" x14ac:dyDescent="0.25">
      <c r="C46" s="14">
        <f t="shared" si="1"/>
        <v>0</v>
      </c>
      <c r="D46" s="14" t="str">
        <f>IF(VehiclesOutput!$B$6=0," ", VehiclesOutput!$B$6)</f>
        <v xml:space="preserve"> </v>
      </c>
      <c r="E46" s="18">
        <f>JohnsInput!$B$38</f>
        <v>0</v>
      </c>
      <c r="F46" s="18">
        <f t="shared" si="2"/>
        <v>0</v>
      </c>
      <c r="G46" s="18">
        <f t="shared" si="3"/>
        <v>0</v>
      </c>
      <c r="H46" s="18">
        <f t="shared" si="4"/>
        <v>0</v>
      </c>
      <c r="I46" s="18">
        <f t="shared" si="5"/>
        <v>0</v>
      </c>
      <c r="J46" s="18">
        <f t="shared" si="6"/>
        <v>0</v>
      </c>
      <c r="K46" s="18" t="str">
        <f t="shared" si="7"/>
        <v xml:space="preserve"> </v>
      </c>
      <c r="L46" s="14" t="str">
        <f t="shared" si="8"/>
        <v xml:space="preserve"> </v>
      </c>
      <c r="M46" s="14" t="str">
        <f t="shared" si="10"/>
        <v>No</v>
      </c>
      <c r="N46" s="14" t="str">
        <f t="shared" si="11"/>
        <v>No</v>
      </c>
      <c r="O46" s="14" t="str">
        <f t="shared" si="9"/>
        <v>No</v>
      </c>
      <c r="P46" s="18">
        <f t="shared" si="12"/>
        <v>0</v>
      </c>
      <c r="Q46" s="18">
        <f t="shared" si="13"/>
        <v>0</v>
      </c>
      <c r="R46" s="22">
        <f t="shared" si="0"/>
        <v>0</v>
      </c>
      <c r="T46" s="21"/>
    </row>
    <row r="47" spans="3:20" x14ac:dyDescent="0.25">
      <c r="C47" s="14">
        <f t="shared" si="1"/>
        <v>0</v>
      </c>
      <c r="D47" s="14" t="str">
        <f>IF(VehiclesOutput!$B$7=0," ", VehiclesOutput!$B$7)</f>
        <v xml:space="preserve"> </v>
      </c>
      <c r="E47" s="18">
        <f>JohnsInput!$B$39</f>
        <v>0</v>
      </c>
      <c r="F47" s="18">
        <f t="shared" si="2"/>
        <v>0</v>
      </c>
      <c r="G47" s="18">
        <f t="shared" si="3"/>
        <v>0</v>
      </c>
      <c r="H47" s="18">
        <f t="shared" si="4"/>
        <v>0</v>
      </c>
      <c r="I47" s="18">
        <f t="shared" si="5"/>
        <v>0</v>
      </c>
      <c r="J47" s="18">
        <f t="shared" si="6"/>
        <v>0</v>
      </c>
      <c r="K47" s="18" t="str">
        <f t="shared" si="7"/>
        <v xml:space="preserve"> </v>
      </c>
      <c r="L47" s="14" t="str">
        <f t="shared" si="8"/>
        <v xml:space="preserve"> </v>
      </c>
      <c r="M47" s="14" t="str">
        <f t="shared" si="10"/>
        <v>No</v>
      </c>
      <c r="N47" s="14" t="str">
        <f t="shared" si="11"/>
        <v>No</v>
      </c>
      <c r="O47" s="14" t="str">
        <f t="shared" si="9"/>
        <v>No</v>
      </c>
      <c r="P47" s="18">
        <f t="shared" si="12"/>
        <v>0</v>
      </c>
      <c r="Q47" s="18">
        <f t="shared" si="13"/>
        <v>0</v>
      </c>
      <c r="R47" s="22">
        <f t="shared" si="0"/>
        <v>0</v>
      </c>
      <c r="T47" s="21"/>
    </row>
    <row r="48" spans="3:20" x14ac:dyDescent="0.25">
      <c r="C48" s="14">
        <f t="shared" si="1"/>
        <v>0</v>
      </c>
      <c r="D48" s="14" t="str">
        <f>IF(VehiclesOutput!$B$8=0," ", VehiclesOutput!$B$8)</f>
        <v xml:space="preserve"> </v>
      </c>
      <c r="E48" s="18">
        <f>JohnsInput!$B$40</f>
        <v>0</v>
      </c>
      <c r="F48" s="18">
        <f t="shared" si="2"/>
        <v>0</v>
      </c>
      <c r="G48" s="18">
        <f t="shared" si="3"/>
        <v>0</v>
      </c>
      <c r="H48" s="18">
        <f t="shared" si="4"/>
        <v>0</v>
      </c>
      <c r="I48" s="18">
        <f t="shared" si="5"/>
        <v>0</v>
      </c>
      <c r="J48" s="18">
        <f t="shared" si="6"/>
        <v>0</v>
      </c>
      <c r="K48" s="18" t="str">
        <f t="shared" si="7"/>
        <v xml:space="preserve"> </v>
      </c>
      <c r="L48" s="14" t="str">
        <f t="shared" si="8"/>
        <v xml:space="preserve"> </v>
      </c>
      <c r="M48" s="14" t="str">
        <f t="shared" si="10"/>
        <v>No</v>
      </c>
      <c r="N48" s="14" t="str">
        <f t="shared" si="11"/>
        <v>No</v>
      </c>
      <c r="O48" s="14" t="str">
        <f t="shared" si="9"/>
        <v>No</v>
      </c>
      <c r="P48" s="18">
        <f t="shared" si="12"/>
        <v>0</v>
      </c>
      <c r="Q48" s="18">
        <f t="shared" si="13"/>
        <v>0</v>
      </c>
      <c r="R48" s="22">
        <f t="shared" si="0"/>
        <v>0</v>
      </c>
      <c r="T48" s="21"/>
    </row>
    <row r="49" spans="2:20" x14ac:dyDescent="0.25">
      <c r="C49" s="14">
        <f t="shared" si="1"/>
        <v>0</v>
      </c>
      <c r="D49" s="14" t="str">
        <f>IF(VehiclesOutput!$B$9=0," ", VehiclesOutput!$B$9)</f>
        <v xml:space="preserve"> </v>
      </c>
      <c r="E49" s="18">
        <f>JohnsInput!$B$41</f>
        <v>0</v>
      </c>
      <c r="F49" s="18">
        <f t="shared" si="2"/>
        <v>0</v>
      </c>
      <c r="G49" s="18">
        <f t="shared" si="3"/>
        <v>0</v>
      </c>
      <c r="H49" s="18">
        <f t="shared" si="4"/>
        <v>0</v>
      </c>
      <c r="I49" s="18">
        <f t="shared" si="5"/>
        <v>0</v>
      </c>
      <c r="J49" s="18">
        <f t="shared" si="6"/>
        <v>0</v>
      </c>
      <c r="K49" s="18" t="str">
        <f t="shared" si="7"/>
        <v xml:space="preserve"> </v>
      </c>
      <c r="L49" s="14" t="str">
        <f t="shared" si="8"/>
        <v xml:space="preserve"> </v>
      </c>
      <c r="M49" s="14" t="str">
        <f t="shared" si="10"/>
        <v>No</v>
      </c>
      <c r="N49" s="14" t="str">
        <f t="shared" si="11"/>
        <v>No</v>
      </c>
      <c r="O49" s="14" t="str">
        <f t="shared" si="9"/>
        <v>No</v>
      </c>
      <c r="P49" s="18">
        <f t="shared" si="12"/>
        <v>0</v>
      </c>
      <c r="Q49" s="18">
        <f t="shared" si="13"/>
        <v>0</v>
      </c>
      <c r="R49" s="22">
        <f t="shared" si="0"/>
        <v>0</v>
      </c>
      <c r="T49" s="21"/>
    </row>
    <row r="50" spans="2:20" x14ac:dyDescent="0.25">
      <c r="C50" s="14">
        <f t="shared" si="1"/>
        <v>0</v>
      </c>
      <c r="D50" s="14" t="str">
        <f>IF(VehiclesOutput!$B$10=0," ", VehiclesOutput!$B$10)</f>
        <v xml:space="preserve"> </v>
      </c>
      <c r="E50" s="18">
        <f>JohnsInput!$B$42</f>
        <v>0</v>
      </c>
      <c r="F50" s="18">
        <f t="shared" si="2"/>
        <v>0</v>
      </c>
      <c r="G50" s="18">
        <f t="shared" si="3"/>
        <v>0</v>
      </c>
      <c r="H50" s="18">
        <f t="shared" si="4"/>
        <v>0</v>
      </c>
      <c r="I50" s="18">
        <f t="shared" si="5"/>
        <v>0</v>
      </c>
      <c r="J50" s="18">
        <f t="shared" si="6"/>
        <v>0</v>
      </c>
      <c r="K50" s="18" t="str">
        <f t="shared" si="7"/>
        <v xml:space="preserve"> </v>
      </c>
      <c r="L50" s="14" t="str">
        <f t="shared" si="8"/>
        <v xml:space="preserve"> </v>
      </c>
      <c r="M50" s="14" t="str">
        <f t="shared" si="10"/>
        <v>No</v>
      </c>
      <c r="N50" s="14" t="str">
        <f t="shared" si="11"/>
        <v>No</v>
      </c>
      <c r="O50" s="14" t="str">
        <f t="shared" si="9"/>
        <v>No</v>
      </c>
      <c r="P50" s="18">
        <f t="shared" si="12"/>
        <v>0</v>
      </c>
      <c r="Q50" s="18">
        <f t="shared" si="13"/>
        <v>0</v>
      </c>
      <c r="R50" s="22">
        <f t="shared" si="0"/>
        <v>0</v>
      </c>
      <c r="T50" s="21"/>
    </row>
    <row r="51" spans="2:20" x14ac:dyDescent="0.25">
      <c r="C51" s="14">
        <f t="shared" si="1"/>
        <v>0</v>
      </c>
      <c r="D51" s="14" t="str">
        <f>IF(VehiclesOutput!$B$11=0," ", VehiclesOutput!$B$11)</f>
        <v xml:space="preserve"> </v>
      </c>
      <c r="E51" s="18">
        <f>JohnsInput!$B$43</f>
        <v>0</v>
      </c>
      <c r="F51" s="18">
        <f t="shared" si="2"/>
        <v>0</v>
      </c>
      <c r="G51" s="18">
        <f t="shared" si="3"/>
        <v>0</v>
      </c>
      <c r="H51" s="18">
        <f t="shared" si="4"/>
        <v>0</v>
      </c>
      <c r="I51" s="18">
        <f t="shared" si="5"/>
        <v>0</v>
      </c>
      <c r="J51" s="18">
        <f t="shared" si="6"/>
        <v>0</v>
      </c>
      <c r="K51" s="18" t="str">
        <f t="shared" si="7"/>
        <v xml:space="preserve"> </v>
      </c>
      <c r="L51" s="14" t="str">
        <f t="shared" si="8"/>
        <v xml:space="preserve"> </v>
      </c>
      <c r="M51" s="14" t="str">
        <f t="shared" si="10"/>
        <v>No</v>
      </c>
      <c r="N51" s="14" t="str">
        <f t="shared" si="11"/>
        <v>No</v>
      </c>
      <c r="O51" s="14" t="str">
        <f t="shared" si="9"/>
        <v>No</v>
      </c>
      <c r="P51" s="18">
        <f t="shared" si="12"/>
        <v>0</v>
      </c>
      <c r="Q51" s="18">
        <f t="shared" si="13"/>
        <v>0</v>
      </c>
      <c r="R51" s="22">
        <f t="shared" si="0"/>
        <v>0</v>
      </c>
      <c r="T51" s="21"/>
    </row>
    <row r="53" spans="2:20" x14ac:dyDescent="0.25">
      <c r="B53" s="1" t="s">
        <v>575</v>
      </c>
      <c r="C53" s="14">
        <f>IF(SUM(C42:C51)&gt;2,2,SUM(C42:C51))</f>
        <v>0</v>
      </c>
      <c r="D53" s="8" t="s">
        <v>180</v>
      </c>
      <c r="E53" s="8" t="s">
        <v>276</v>
      </c>
      <c r="F53" s="8" t="s">
        <v>277</v>
      </c>
      <c r="G53" s="8" t="s">
        <v>278</v>
      </c>
      <c r="H53" s="8" t="s">
        <v>279</v>
      </c>
      <c r="I53" s="8" t="s">
        <v>280</v>
      </c>
      <c r="J53" s="8" t="s">
        <v>281</v>
      </c>
      <c r="K53" s="8" t="s">
        <v>265</v>
      </c>
    </row>
    <row r="54" spans="2:20" x14ac:dyDescent="0.25">
      <c r="E54" s="8"/>
      <c r="F54" s="8"/>
      <c r="G54" s="8" t="s">
        <v>78</v>
      </c>
      <c r="H54" s="8"/>
      <c r="I54" s="8"/>
      <c r="J54" s="8" t="s">
        <v>78</v>
      </c>
    </row>
    <row r="56" spans="2:20" x14ac:dyDescent="0.25">
      <c r="C56" s="14">
        <f t="shared" ref="C56:C65" si="14">IF(E56&gt;0,1,0)</f>
        <v>0</v>
      </c>
      <c r="D56" s="14" t="str">
        <f>IF(VehiclesOutput!$B$2=0," ", VehiclesOutput!$B$2)</f>
        <v xml:space="preserve"> </v>
      </c>
      <c r="E56" s="18">
        <f t="shared" ref="E56:E57" si="15">IF(AND($D$28=D56,$F$28="First"),$G$28,IF(AND($D$29=D56,$F$29="First"),$G$29,IF(AND($D$30=D56,$F$30="First"),$G$30,IF(AND($D$31=D56,$F$31="First"),$G$31,IF(AND($D$32=D56,$F$32="First"),$G$32,IF(AND($D$33=D56,$F$33="First"),$G$33,IF(AND($D$34=D56,$F$34="First"),$G$34,IF(AND($D$35=D56,$F$35="First"),$G$35,IF(AND($D$36=D56,$F$36="First"),$G$36,IF(AND($D$37=D56,$F$37="First"),$G$37,0))))))))))</f>
        <v>0</v>
      </c>
      <c r="F56" s="14">
        <f t="shared" ref="F56:F57" si="16">IF(AND($D$28=D56,$F$28="First"),$K$28,IF(AND($D$29=D56,$F$29="First"),$K$29,IF(AND($D$30=D56,$F$30="First"),$K$30,IF(AND($D$31=D56,$F$31="First"),$K$31,IF(AND($D$32=D56,$F$32="First"),$K$32,IF(AND($D$33=D56,$F$33="First"),$K$33,IF(AND($D$34=D56,$F$34="First"),$K$34,IF(AND($D$35=D56,$F$35="First"),$K$35,IF(AND($D$36=D56,$F$36="First"),$K$36,IF(AND($D$37=D56,$F$37="First"),$K$37,0))))))))))</f>
        <v>0</v>
      </c>
      <c r="G56" s="18">
        <f>E56*F56</f>
        <v>0</v>
      </c>
      <c r="H56" s="18">
        <f>IF(AND($D$28=D56,$F$28="Second"),$G$28,IF(AND($D$29=D56,$F$29="Second"),$G$29,IF(AND($D$30=D56,$F$30="Second"),$G$30,IF(AND($D$31=D56,$F$31="Second"),$G$31,IF(AND($D$32=D56,$F$32="Second"),$G$32,IF(AND($D$33=D56,$F$33="Second"),$G$33,IF(AND($D$34=D56,$F$34="Second"),$G$34,IF(AND($D$35=D56,$F$35="Second"),$G$35,IF(AND($D$36=D56,$F$36="Second"),$G$36,IF(AND($D$37=D56,$F$37="Second"),$G$37,0))))))))))</f>
        <v>0</v>
      </c>
      <c r="I56" s="14">
        <f>IF(AND($D$28=D56,$F$28="Second"),$K$28,IF(AND($D$29=D56,$F$29="Second"),$K$29,IF(AND($D$30=D56,$F$30="Second"),$K$30,IF(AND($D$31=D56,$F$31="Second"),$K$31,IF(AND($D$32=D56,$F$32="Second"),$K$32,IF(AND($D$33=D56,$F$33="Second"),$K$33,IF(AND($D$34=D56,$F$34="Second"),$K$34,IF(AND($D$35=D56,$F$35="Second"),$K$35,IF(AND($D$36=D56,$F$36="Second"),$K$36,IF(AND($D$37=D56,$F$37="Second"),$K$37,0))))))))))</f>
        <v>0</v>
      </c>
      <c r="J56" s="18">
        <f>H56*I56</f>
        <v>0</v>
      </c>
      <c r="K56" s="18">
        <f>G56+J56</f>
        <v>0</v>
      </c>
    </row>
    <row r="57" spans="2:20" x14ac:dyDescent="0.25">
      <c r="C57" s="14">
        <f t="shared" si="14"/>
        <v>0</v>
      </c>
      <c r="D57" s="14" t="str">
        <f>IF(VehiclesOutput!$B$3=0," ", VehiclesOutput!$B$3)</f>
        <v xml:space="preserve"> </v>
      </c>
      <c r="E57" s="18">
        <f t="shared" si="15"/>
        <v>0</v>
      </c>
      <c r="F57" s="14">
        <f t="shared" si="16"/>
        <v>0</v>
      </c>
      <c r="G57" s="18">
        <f t="shared" ref="G57:G65" si="17">E57*F57</f>
        <v>0</v>
      </c>
      <c r="H57" s="18">
        <f t="shared" ref="H57:H65" si="18">IF(AND($D$28=D57,$F$28="Second"),$G$28,IF(AND($D$29=D57,$F$29="Second"),$G$29,IF(AND($D$30=D57,$F$30="Second"),$G$30,IF(AND($D$31=D57,$F$31="Second"),$G$31,IF(AND($D$32=D57,$F$32="Second"),$G$32,IF(AND($D$33=D57,$F$33="Second"),$G$33,IF(AND($D$34=D57,$F$34="Second"),$G$34,IF(AND($D$35=D57,$F$35="Second"),$G$35,IF(AND($D$36=D57,$F$36="Second"),$G$36,IF(AND($D$37=D57,$F$37="Second"),$G$37,0))))))))))</f>
        <v>0</v>
      </c>
      <c r="I57" s="14">
        <f t="shared" ref="I57:I65" si="19">IF(AND($D$28=D57,$F$28="Second"),$K$28,IF(AND($D$29=D57,$F$29="Second"),$K$29,IF(AND($D$30=D57,$F$30="Second"),$K$30,IF(AND($D$31=D57,$F$31="Second"),$K$31,IF(AND($D$32=D57,$F$32="Second"),$K$32,IF(AND($D$33=D57,$F$33="Second"),$K$33,IF(AND($D$34=D57,$F$34="Second"),$K$34,IF(AND($D$35=D57,$F$35="Second"),$K$35,IF(AND($D$36=D57,$F$36="Second"),$K$36,IF(AND($D$37=D57,$F$37="Second"),$K$37,0))))))))))</f>
        <v>0</v>
      </c>
      <c r="J57" s="18">
        <f t="shared" ref="J57:J65" si="20">H57*I57</f>
        <v>0</v>
      </c>
      <c r="K57" s="18">
        <f t="shared" ref="K57:K65" si="21">G57+J57</f>
        <v>0</v>
      </c>
    </row>
    <row r="58" spans="2:20" x14ac:dyDescent="0.25">
      <c r="C58" s="14">
        <f t="shared" si="14"/>
        <v>0</v>
      </c>
      <c r="D58" s="14" t="str">
        <f>IF(VehiclesOutput!$B$4=0," ", VehiclesOutput!$B$4)</f>
        <v xml:space="preserve"> </v>
      </c>
      <c r="E58" s="18">
        <f>IF(AND($D$28=D58,$F$28="First"),$G$28,IF(AND($D$29=D58,$F$29="First"),$G$29,IF(AND($D$30=D58,$F$30="First"),$G$30,IF(AND($D$31=D58,$F$31="First"),$G$31,IF(AND($D$32=D58,$F$32="First"),$G$32,IF(AND($D$33=D58,$F$33="First"),$G$33,IF(AND($D$34=D58,$F$34="First"),$G$34,IF(AND($D$35=D58,$F$35="First"),$G$35,IF(AND($D$36=D58,$F$36="First"),$G$36,IF(AND($D$37=D58,$F$37="First"),$G$37,0))))))))))</f>
        <v>0</v>
      </c>
      <c r="F58" s="14">
        <f>IF(AND($D$28=D58,$F$28="First"),$K$28,IF(AND($D$29=D58,$F$29="First"),$K$29,IF(AND($D$30=D58,$F$30="First"),$K$30,IF(AND($D$31=D58,$F$31="First"),$K$31,IF(AND($D$32=D58,$F$32="First"),$K$32,IF(AND($D$33=D58,$F$33="First"),$K$33,IF(AND($D$34=D58,$F$34="First"),$K$34,IF(AND($D$35=D58,$F$35="First"),$K$35,IF(AND($D$36=D58,$F$36="First"),$K$36,IF(AND($D$37=D58,$F$37="First"),$K$37,0))))))))))</f>
        <v>0</v>
      </c>
      <c r="G58" s="18">
        <f t="shared" si="17"/>
        <v>0</v>
      </c>
      <c r="H58" s="18">
        <f t="shared" si="18"/>
        <v>0</v>
      </c>
      <c r="I58" s="14">
        <f t="shared" si="19"/>
        <v>0</v>
      </c>
      <c r="J58" s="18">
        <f t="shared" si="20"/>
        <v>0</v>
      </c>
      <c r="K58" s="18">
        <f t="shared" si="21"/>
        <v>0</v>
      </c>
    </row>
    <row r="59" spans="2:20" x14ac:dyDescent="0.25">
      <c r="C59" s="14">
        <f t="shared" si="14"/>
        <v>0</v>
      </c>
      <c r="D59" s="14" t="str">
        <f>IF(VehiclesOutput!$B$5=0," ", VehiclesOutput!$B$5)</f>
        <v xml:space="preserve"> </v>
      </c>
      <c r="E59" s="18">
        <f t="shared" ref="E59:E65" si="22">IF(AND($D$28=D59,$F$28="First"),$G$28,IF(AND($D$29=D59,$F$29="First"),$G$29,IF(AND($D$30=D59,$F$30="First"),$G$30,IF(AND($D$31=D59,$F$31="First"),$G$31,IF(AND($D$32=D59,$F$32="First"),$G$32,IF(AND($D$33=D59,$F$33="First"),$G$33,IF(AND($D$34=D59,$F$34="First"),$G$34,IF(AND($D$35=D59,$F$35="First"),$G$35,IF(AND($D$36=D59,$F$36="First"),$G$36,IF(AND($D$37=D59,$F$37="First"),$G$37,0))))))))))</f>
        <v>0</v>
      </c>
      <c r="F59" s="14">
        <f t="shared" ref="F59:F65" si="23">IF(AND($D$28=D59,$F$28="First"),$K$28,IF(AND($D$29=D59,$F$29="First"),$K$29,IF(AND($D$30=D59,$F$30="First"),$K$30,IF(AND($D$31=D59,$F$31="First"),$K$31,IF(AND($D$32=D59,$F$32="First"),$K$32,IF(AND($D$33=D59,$F$33="First"),$K$33,IF(AND($D$34=D59,$F$34="First"),$K$34,IF(AND($D$35=D59,$F$35="First"),$K$35,IF(AND($D$36=D59,$F$36="First"),$K$36,IF(AND($D$37=D59,$F$37="First"),$K$37,0))))))))))</f>
        <v>0</v>
      </c>
      <c r="G59" s="18">
        <f t="shared" si="17"/>
        <v>0</v>
      </c>
      <c r="H59" s="18">
        <f t="shared" si="18"/>
        <v>0</v>
      </c>
      <c r="I59" s="14">
        <f t="shared" si="19"/>
        <v>0</v>
      </c>
      <c r="J59" s="18">
        <f t="shared" si="20"/>
        <v>0</v>
      </c>
      <c r="K59" s="18">
        <f t="shared" si="21"/>
        <v>0</v>
      </c>
    </row>
    <row r="60" spans="2:20" x14ac:dyDescent="0.25">
      <c r="C60" s="14">
        <f t="shared" si="14"/>
        <v>0</v>
      </c>
      <c r="D60" s="14" t="str">
        <f>IF(VehiclesOutput!$B$6=0," ", VehiclesOutput!$B$6)</f>
        <v xml:space="preserve"> </v>
      </c>
      <c r="E60" s="18">
        <f t="shared" si="22"/>
        <v>0</v>
      </c>
      <c r="F60" s="14">
        <f t="shared" si="23"/>
        <v>0</v>
      </c>
      <c r="G60" s="18">
        <f t="shared" si="17"/>
        <v>0</v>
      </c>
      <c r="H60" s="18">
        <f t="shared" si="18"/>
        <v>0</v>
      </c>
      <c r="I60" s="14">
        <f t="shared" si="19"/>
        <v>0</v>
      </c>
      <c r="J60" s="18">
        <f t="shared" si="20"/>
        <v>0</v>
      </c>
      <c r="K60" s="18">
        <f t="shared" si="21"/>
        <v>0</v>
      </c>
    </row>
    <row r="61" spans="2:20" x14ac:dyDescent="0.25">
      <c r="C61" s="14">
        <f t="shared" si="14"/>
        <v>0</v>
      </c>
      <c r="D61" s="14" t="str">
        <f>IF(VehiclesOutput!$B$7=0," ", VehiclesOutput!$B$7)</f>
        <v xml:space="preserve"> </v>
      </c>
      <c r="E61" s="18">
        <f t="shared" si="22"/>
        <v>0</v>
      </c>
      <c r="F61" s="14">
        <f t="shared" si="23"/>
        <v>0</v>
      </c>
      <c r="G61" s="18">
        <f t="shared" si="17"/>
        <v>0</v>
      </c>
      <c r="H61" s="18">
        <f t="shared" si="18"/>
        <v>0</v>
      </c>
      <c r="I61" s="14">
        <f t="shared" si="19"/>
        <v>0</v>
      </c>
      <c r="J61" s="18">
        <f t="shared" si="20"/>
        <v>0</v>
      </c>
      <c r="K61" s="18">
        <f t="shared" si="21"/>
        <v>0</v>
      </c>
    </row>
    <row r="62" spans="2:20" x14ac:dyDescent="0.25">
      <c r="C62" s="14">
        <f t="shared" si="14"/>
        <v>0</v>
      </c>
      <c r="D62" s="14" t="str">
        <f>IF(VehiclesOutput!$B$8=0," ", VehiclesOutput!$B$8)</f>
        <v xml:space="preserve"> </v>
      </c>
      <c r="E62" s="18">
        <f t="shared" si="22"/>
        <v>0</v>
      </c>
      <c r="F62" s="14">
        <f t="shared" si="23"/>
        <v>0</v>
      </c>
      <c r="G62" s="18">
        <f t="shared" si="17"/>
        <v>0</v>
      </c>
      <c r="H62" s="18">
        <f t="shared" si="18"/>
        <v>0</v>
      </c>
      <c r="I62" s="14">
        <f t="shared" si="19"/>
        <v>0</v>
      </c>
      <c r="J62" s="18">
        <f t="shared" si="20"/>
        <v>0</v>
      </c>
      <c r="K62" s="18">
        <f t="shared" si="21"/>
        <v>0</v>
      </c>
    </row>
    <row r="63" spans="2:20" x14ac:dyDescent="0.25">
      <c r="C63" s="14">
        <f t="shared" si="14"/>
        <v>0</v>
      </c>
      <c r="D63" s="14" t="str">
        <f>IF(VehiclesOutput!$B$9=0," ", VehiclesOutput!$B$9)</f>
        <v xml:space="preserve"> </v>
      </c>
      <c r="E63" s="18">
        <f t="shared" si="22"/>
        <v>0</v>
      </c>
      <c r="F63" s="14">
        <f t="shared" si="23"/>
        <v>0</v>
      </c>
      <c r="G63" s="18">
        <f t="shared" si="17"/>
        <v>0</v>
      </c>
      <c r="H63" s="18">
        <f t="shared" si="18"/>
        <v>0</v>
      </c>
      <c r="I63" s="14">
        <f t="shared" si="19"/>
        <v>0</v>
      </c>
      <c r="J63" s="18">
        <f t="shared" si="20"/>
        <v>0</v>
      </c>
      <c r="K63" s="18">
        <f t="shared" si="21"/>
        <v>0</v>
      </c>
    </row>
    <row r="64" spans="2:20" x14ac:dyDescent="0.25">
      <c r="C64" s="14">
        <f t="shared" si="14"/>
        <v>0</v>
      </c>
      <c r="D64" s="14" t="str">
        <f>IF(VehiclesOutput!$B$10=0," ", VehiclesOutput!$B$10)</f>
        <v xml:space="preserve"> </v>
      </c>
      <c r="E64" s="18">
        <f t="shared" si="22"/>
        <v>0</v>
      </c>
      <c r="F64" s="14">
        <f t="shared" si="23"/>
        <v>0</v>
      </c>
      <c r="G64" s="18">
        <f t="shared" si="17"/>
        <v>0</v>
      </c>
      <c r="H64" s="18">
        <f t="shared" si="18"/>
        <v>0</v>
      </c>
      <c r="I64" s="14">
        <f t="shared" si="19"/>
        <v>0</v>
      </c>
      <c r="J64" s="18">
        <f t="shared" si="20"/>
        <v>0</v>
      </c>
      <c r="K64" s="18">
        <f t="shared" si="21"/>
        <v>0</v>
      </c>
    </row>
    <row r="65" spans="2:11" x14ac:dyDescent="0.25">
      <c r="C65" s="14">
        <f t="shared" si="14"/>
        <v>0</v>
      </c>
      <c r="D65" s="14" t="str">
        <f>IF(VehiclesOutput!$B$11=0," ", VehiclesOutput!$B$11)</f>
        <v xml:space="preserve"> </v>
      </c>
      <c r="E65" s="18">
        <f t="shared" si="22"/>
        <v>0</v>
      </c>
      <c r="F65" s="14">
        <f t="shared" si="23"/>
        <v>0</v>
      </c>
      <c r="G65" s="18">
        <f t="shared" si="17"/>
        <v>0</v>
      </c>
      <c r="H65" s="18">
        <f t="shared" si="18"/>
        <v>0</v>
      </c>
      <c r="I65" s="14">
        <f t="shared" si="19"/>
        <v>0</v>
      </c>
      <c r="J65" s="18">
        <f t="shared" si="20"/>
        <v>0</v>
      </c>
      <c r="K65" s="18">
        <f t="shared" si="21"/>
        <v>0</v>
      </c>
    </row>
    <row r="67" spans="2:11" x14ac:dyDescent="0.25">
      <c r="B67" s="1" t="s">
        <v>576</v>
      </c>
      <c r="C67" s="14">
        <f>IF(SUM(C56:C65)&gt;2,2,SUM(C56:C65))</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AnalysisMenu">
                <anchor moveWithCells="1">
                  <from>
                    <xdr:col>1</xdr:col>
                    <xdr:colOff>447675</xdr:colOff>
                    <xdr:row>2</xdr:row>
                    <xdr:rowOff>114300</xdr:rowOff>
                  </from>
                  <to>
                    <xdr:col>3</xdr:col>
                    <xdr:colOff>695325</xdr:colOff>
                    <xdr:row>3</xdr:row>
                    <xdr:rowOff>161925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7:Q77"/>
  <sheetViews>
    <sheetView topLeftCell="A47" workbookViewId="0">
      <selection activeCell="J22" sqref="J22"/>
    </sheetView>
  </sheetViews>
  <sheetFormatPr defaultRowHeight="15" x14ac:dyDescent="0.25"/>
  <cols>
    <col min="3" max="3" width="19" customWidth="1"/>
    <col min="4" max="4" width="16" customWidth="1"/>
    <col min="5" max="5" width="20.7109375" customWidth="1"/>
    <col min="6" max="6" width="20.85546875" customWidth="1"/>
    <col min="7" max="7" width="24.85546875" customWidth="1"/>
    <col min="8" max="8" width="20.42578125" customWidth="1"/>
    <col min="9" max="9" width="25" customWidth="1"/>
    <col min="10" max="10" width="22" customWidth="1"/>
    <col min="11" max="11" width="23.7109375" customWidth="1"/>
    <col min="12" max="12" width="28.5703125" customWidth="1"/>
    <col min="13" max="13" width="25.28515625" customWidth="1"/>
    <col min="14" max="14" width="23.42578125" customWidth="1"/>
    <col min="15" max="15" width="29.7109375" customWidth="1"/>
    <col min="16" max="16" width="30.7109375" customWidth="1"/>
    <col min="17" max="17" width="22" customWidth="1"/>
    <col min="18" max="18" width="21.7109375" customWidth="1"/>
    <col min="19" max="19" width="21.42578125" customWidth="1"/>
    <col min="20" max="20" width="15.7109375" customWidth="1"/>
  </cols>
  <sheetData>
    <row r="7" spans="3:14" x14ac:dyDescent="0.25">
      <c r="C7" s="1" t="s">
        <v>210</v>
      </c>
    </row>
    <row r="8" spans="3:14" x14ac:dyDescent="0.25">
      <c r="C8">
        <f>RealPropertyOutputs!$A$2</f>
        <v>0</v>
      </c>
    </row>
    <row r="11" spans="3:14" x14ac:dyDescent="0.25">
      <c r="C11" s="3" t="s">
        <v>82</v>
      </c>
      <c r="D11" s="3" t="s">
        <v>150</v>
      </c>
      <c r="E11" s="3" t="s">
        <v>149</v>
      </c>
      <c r="F11" s="3" t="s">
        <v>148</v>
      </c>
      <c r="G11" s="3" t="s">
        <v>140</v>
      </c>
      <c r="H11" s="3" t="s">
        <v>147</v>
      </c>
      <c r="I11" s="3" t="s">
        <v>146</v>
      </c>
      <c r="J11" s="3" t="s">
        <v>145</v>
      </c>
      <c r="K11" s="3" t="s">
        <v>144</v>
      </c>
      <c r="L11" s="3" t="s">
        <v>143</v>
      </c>
      <c r="M11" s="3" t="s">
        <v>142</v>
      </c>
      <c r="N11" s="3" t="s">
        <v>141</v>
      </c>
    </row>
    <row r="13" spans="3:14" x14ac:dyDescent="0.25">
      <c r="C13">
        <f>RealPropertyOutputs!$B$2</f>
        <v>0</v>
      </c>
      <c r="D13">
        <f>RealPropertyOutputs!$C$2</f>
        <v>0</v>
      </c>
      <c r="E13">
        <f>RealPropertyOutputs!$D$2</f>
        <v>0</v>
      </c>
      <c r="F13">
        <f>RealPropertyOutputs!$E$2</f>
        <v>0</v>
      </c>
      <c r="G13">
        <f>RealPropertyOutputs!$F$2</f>
        <v>0</v>
      </c>
      <c r="H13">
        <f>RealPropertyOutputs!$G$2</f>
        <v>0</v>
      </c>
      <c r="I13" s="4">
        <f>RealPropertyOutputs!$H$2</f>
        <v>0</v>
      </c>
      <c r="J13">
        <f>RealPropertyOutputs!$I$2</f>
        <v>0</v>
      </c>
      <c r="K13">
        <f>RealPropertyOutputs!$J$2</f>
        <v>0</v>
      </c>
      <c r="L13">
        <f>RealPropertyOutputs!$K$2</f>
        <v>0</v>
      </c>
      <c r="M13">
        <f>RealPropertyOutputs!$L$2</f>
        <v>0</v>
      </c>
      <c r="N13">
        <f>RealPropertyOutputs!$M$2</f>
        <v>0</v>
      </c>
    </row>
    <row r="14" spans="3:14" x14ac:dyDescent="0.25">
      <c r="C14">
        <f>RealPropertyOutputs!$B$3</f>
        <v>0</v>
      </c>
      <c r="D14">
        <f>RealPropertyOutputs!$C$3</f>
        <v>0</v>
      </c>
      <c r="E14">
        <f>RealPropertyOutputs!$D$3</f>
        <v>0</v>
      </c>
      <c r="F14">
        <f>RealPropertyOutputs!$E$3</f>
        <v>0</v>
      </c>
      <c r="G14">
        <f>RealPropertyOutputs!$F$3</f>
        <v>0</v>
      </c>
      <c r="H14">
        <f>RealPropertyOutputs!$G$3</f>
        <v>0</v>
      </c>
      <c r="I14" s="4">
        <f>RealPropertyOutputs!$H$3</f>
        <v>0</v>
      </c>
      <c r="J14">
        <f>RealPropertyOutputs!$I$3</f>
        <v>0</v>
      </c>
      <c r="K14">
        <f>RealPropertyOutputs!$J$3</f>
        <v>0</v>
      </c>
      <c r="L14">
        <f>RealPropertyOutputs!$K$3</f>
        <v>0</v>
      </c>
      <c r="M14">
        <f>RealPropertyOutputs!$L$3</f>
        <v>0</v>
      </c>
      <c r="N14">
        <f>RealPropertyOutputs!$M$3</f>
        <v>0</v>
      </c>
    </row>
    <row r="15" spans="3:14" x14ac:dyDescent="0.25">
      <c r="C15">
        <f>RealPropertyOutputs!$B$4</f>
        <v>0</v>
      </c>
      <c r="D15">
        <f>RealPropertyOutputs!$C$4</f>
        <v>0</v>
      </c>
      <c r="E15">
        <f>RealPropertyOutputs!$D$4</f>
        <v>0</v>
      </c>
      <c r="F15">
        <f>RealPropertyOutputs!$E$4</f>
        <v>0</v>
      </c>
      <c r="G15">
        <f>RealPropertyOutputs!$F$4</f>
        <v>0</v>
      </c>
      <c r="H15">
        <f>RealPropertyOutputs!$G$4</f>
        <v>0</v>
      </c>
      <c r="I15" s="4">
        <f>RealPropertyOutputs!$H$4</f>
        <v>0</v>
      </c>
      <c r="J15">
        <f>RealPropertyOutputs!$I$4</f>
        <v>0</v>
      </c>
      <c r="K15">
        <f>RealPropertyOutputs!$J$4</f>
        <v>0</v>
      </c>
      <c r="L15">
        <f>RealPropertyOutputs!$K$4</f>
        <v>0</v>
      </c>
      <c r="M15">
        <f>RealPropertyOutputs!$L$4</f>
        <v>0</v>
      </c>
      <c r="N15">
        <f>RealPropertyOutputs!$M$4</f>
        <v>0</v>
      </c>
    </row>
    <row r="16" spans="3:14" x14ac:dyDescent="0.25">
      <c r="C16">
        <f>RealPropertyOutputs!$B$5</f>
        <v>0</v>
      </c>
      <c r="D16">
        <f>RealPropertyOutputs!$C$5</f>
        <v>0</v>
      </c>
      <c r="E16">
        <f>RealPropertyOutputs!$D$5</f>
        <v>0</v>
      </c>
      <c r="F16">
        <f>RealPropertyOutputs!$E$5</f>
        <v>0</v>
      </c>
      <c r="G16">
        <f>RealPropertyOutputs!$F$5</f>
        <v>0</v>
      </c>
      <c r="H16">
        <f>RealPropertyOutputs!$G$5</f>
        <v>0</v>
      </c>
      <c r="I16" s="4">
        <f>RealPropertyOutputs!$H$5</f>
        <v>0</v>
      </c>
      <c r="J16">
        <f>RealPropertyOutputs!$I$5</f>
        <v>0</v>
      </c>
      <c r="K16">
        <f>RealPropertyOutputs!$J$5</f>
        <v>0</v>
      </c>
      <c r="L16">
        <f>RealPropertyOutputs!$K$5</f>
        <v>0</v>
      </c>
      <c r="M16">
        <f>RealPropertyOutputs!$L$5</f>
        <v>0</v>
      </c>
      <c r="N16">
        <f>RealPropertyOutputs!$M$5</f>
        <v>0</v>
      </c>
    </row>
    <row r="17" spans="2:14" x14ac:dyDescent="0.25">
      <c r="C17">
        <f>RealPropertyOutputs!$B$6</f>
        <v>0</v>
      </c>
      <c r="D17">
        <f>RealPropertyOutputs!$C$6</f>
        <v>0</v>
      </c>
      <c r="E17">
        <f>RealPropertyOutputs!$D$6</f>
        <v>0</v>
      </c>
      <c r="F17">
        <f>RealPropertyOutputs!$E$6</f>
        <v>0</v>
      </c>
      <c r="G17">
        <f>RealPropertyOutputs!$F$6</f>
        <v>0</v>
      </c>
      <c r="H17">
        <f>RealPropertyOutputs!$G$6</f>
        <v>0</v>
      </c>
      <c r="I17" s="4">
        <f>RealPropertyOutputs!$H$6</f>
        <v>0</v>
      </c>
      <c r="J17">
        <f>RealPropertyOutputs!$I$6</f>
        <v>0</v>
      </c>
      <c r="K17">
        <f>RealPropertyOutputs!$J$6</f>
        <v>0</v>
      </c>
      <c r="L17">
        <f>RealPropertyOutputs!$K$6</f>
        <v>0</v>
      </c>
      <c r="M17">
        <f>RealPropertyOutputs!$L$6</f>
        <v>0</v>
      </c>
      <c r="N17">
        <f>RealPropertyOutputs!$M$6</f>
        <v>0</v>
      </c>
    </row>
    <row r="18" spans="2:14" x14ac:dyDescent="0.25">
      <c r="C18">
        <f>RealPropertyOutputs!$B$7</f>
        <v>0</v>
      </c>
      <c r="D18">
        <f>RealPropertyOutputs!$C$7</f>
        <v>0</v>
      </c>
      <c r="E18">
        <f>RealPropertyOutputs!$D$7</f>
        <v>0</v>
      </c>
      <c r="F18">
        <f>RealPropertyOutputs!$E$7</f>
        <v>0</v>
      </c>
      <c r="G18">
        <f>RealPropertyOutputs!$F$7</f>
        <v>0</v>
      </c>
      <c r="H18">
        <f>RealPropertyOutputs!$G$7</f>
        <v>0</v>
      </c>
      <c r="I18" s="4">
        <f>RealPropertyOutputs!$H$7</f>
        <v>0</v>
      </c>
      <c r="J18">
        <f>RealPropertyOutputs!$I$7</f>
        <v>0</v>
      </c>
      <c r="K18">
        <f>RealPropertyOutputs!$J$7</f>
        <v>0</v>
      </c>
      <c r="L18">
        <f>RealPropertyOutputs!$K$7</f>
        <v>0</v>
      </c>
      <c r="M18">
        <f>RealPropertyOutputs!$L$7</f>
        <v>0</v>
      </c>
      <c r="N18">
        <f>RealPropertyOutputs!$M$7</f>
        <v>0</v>
      </c>
    </row>
    <row r="19" spans="2:14" x14ac:dyDescent="0.25">
      <c r="C19">
        <f>RealPropertyOutputs!$B$8</f>
        <v>0</v>
      </c>
      <c r="D19">
        <f>RealPropertyOutputs!$C$8</f>
        <v>0</v>
      </c>
      <c r="E19">
        <f>RealPropertyOutputs!$D$8</f>
        <v>0</v>
      </c>
      <c r="F19">
        <f>RealPropertyOutputs!$E$8</f>
        <v>0</v>
      </c>
      <c r="G19">
        <f>RealPropertyOutputs!$F$8</f>
        <v>0</v>
      </c>
      <c r="H19">
        <f>RealPropertyOutputs!$G$8</f>
        <v>0</v>
      </c>
      <c r="I19" s="4">
        <f>RealPropertyOutputs!$H$8</f>
        <v>0</v>
      </c>
      <c r="J19">
        <f>RealPropertyOutputs!$I$8</f>
        <v>0</v>
      </c>
      <c r="K19">
        <f>RealPropertyOutputs!$J$8</f>
        <v>0</v>
      </c>
      <c r="L19">
        <f>RealPropertyOutputs!$K$8</f>
        <v>0</v>
      </c>
      <c r="M19">
        <f>RealPropertyOutputs!$L$8</f>
        <v>0</v>
      </c>
      <c r="N19">
        <f>RealPropertyOutputs!$M$8</f>
        <v>0</v>
      </c>
    </row>
    <row r="20" spans="2:14" x14ac:dyDescent="0.25">
      <c r="C20">
        <f>RealPropertyOutputs!$B$9</f>
        <v>0</v>
      </c>
      <c r="D20">
        <f>RealPropertyOutputs!$C$9</f>
        <v>0</v>
      </c>
      <c r="E20">
        <f>RealPropertyOutputs!$D$9</f>
        <v>0</v>
      </c>
      <c r="F20">
        <f>RealPropertyOutputs!$E$9</f>
        <v>0</v>
      </c>
      <c r="G20">
        <f>RealPropertyOutputs!$F$9</f>
        <v>0</v>
      </c>
      <c r="H20">
        <f>RealPropertyOutputs!$G$9</f>
        <v>0</v>
      </c>
      <c r="I20" s="4">
        <f>RealPropertyOutputs!$H$9</f>
        <v>0</v>
      </c>
      <c r="J20">
        <f>RealPropertyOutputs!$I$9</f>
        <v>0</v>
      </c>
      <c r="K20">
        <f>RealPropertyOutputs!$J$9</f>
        <v>0</v>
      </c>
      <c r="L20">
        <f>RealPropertyOutputs!$K$9</f>
        <v>0</v>
      </c>
      <c r="M20">
        <f>RealPropertyOutputs!$L$9</f>
        <v>0</v>
      </c>
      <c r="N20">
        <f>RealPropertyOutputs!$M$9</f>
        <v>0</v>
      </c>
    </row>
    <row r="21" spans="2:14" x14ac:dyDescent="0.25">
      <c r="C21">
        <f>RealPropertyOutputs!$B$10</f>
        <v>0</v>
      </c>
      <c r="D21">
        <f>RealPropertyOutputs!$C$10</f>
        <v>0</v>
      </c>
      <c r="E21">
        <f>RealPropertyOutputs!$D$10</f>
        <v>0</v>
      </c>
      <c r="F21">
        <f>RealPropertyOutputs!$E$10</f>
        <v>0</v>
      </c>
      <c r="G21">
        <f>RealPropertyOutputs!$F$10</f>
        <v>0</v>
      </c>
      <c r="H21">
        <f>RealPropertyOutputs!$G$10</f>
        <v>0</v>
      </c>
      <c r="I21" s="4">
        <f>RealPropertyOutputs!$H$10</f>
        <v>0</v>
      </c>
      <c r="J21">
        <f>RealPropertyOutputs!$I$10</f>
        <v>0</v>
      </c>
      <c r="K21">
        <f>RealPropertyOutputs!$J$10</f>
        <v>0</v>
      </c>
      <c r="L21">
        <f>RealPropertyOutputs!$K$10</f>
        <v>0</v>
      </c>
      <c r="M21">
        <f>RealPropertyOutputs!$L$10</f>
        <v>0</v>
      </c>
      <c r="N21">
        <f>RealPropertyOutputs!$M$10</f>
        <v>0</v>
      </c>
    </row>
    <row r="22" spans="2:14" x14ac:dyDescent="0.25">
      <c r="C22">
        <f>RealPropertyOutputs!$B$11</f>
        <v>0</v>
      </c>
      <c r="D22">
        <f>RealPropertyOutputs!$C$11</f>
        <v>0</v>
      </c>
      <c r="E22">
        <f>RealPropertyOutputs!$D$11</f>
        <v>0</v>
      </c>
      <c r="F22">
        <f>RealPropertyOutputs!$E$11</f>
        <v>0</v>
      </c>
      <c r="G22">
        <f>RealPropertyOutputs!$F$11</f>
        <v>0</v>
      </c>
      <c r="H22">
        <f>RealPropertyOutputs!$G$11</f>
        <v>0</v>
      </c>
      <c r="I22" s="4">
        <f>RealPropertyOutputs!$H$11</f>
        <v>0</v>
      </c>
      <c r="J22">
        <f>RealPropertyOutputs!$I$11</f>
        <v>0</v>
      </c>
      <c r="K22">
        <f>RealPropertyOutputs!$J$11</f>
        <v>0</v>
      </c>
      <c r="L22">
        <f>RealPropertyOutputs!$K$11</f>
        <v>0</v>
      </c>
      <c r="M22">
        <f>RealPropertyOutputs!$L$11</f>
        <v>0</v>
      </c>
      <c r="N22">
        <f>RealPropertyOutputs!$M$11</f>
        <v>0</v>
      </c>
    </row>
    <row r="25" spans="2:14" x14ac:dyDescent="0.25">
      <c r="C25" s="3" t="s">
        <v>82</v>
      </c>
      <c r="D25" s="3" t="s">
        <v>81</v>
      </c>
      <c r="E25" s="3" t="s">
        <v>80</v>
      </c>
      <c r="F25" s="3" t="s">
        <v>79</v>
      </c>
      <c r="G25" s="3" t="s">
        <v>78</v>
      </c>
      <c r="H25" s="3" t="s">
        <v>77</v>
      </c>
      <c r="I25" s="3" t="s">
        <v>76</v>
      </c>
      <c r="J25" s="3" t="s">
        <v>75</v>
      </c>
      <c r="K25" s="3" t="s">
        <v>74</v>
      </c>
      <c r="L25" s="3" t="s">
        <v>73</v>
      </c>
      <c r="M25" s="3" t="s">
        <v>72</v>
      </c>
    </row>
    <row r="27" spans="2:14" x14ac:dyDescent="0.25">
      <c r="B27">
        <v>1</v>
      </c>
      <c r="C27">
        <f>HousePmtsOutput!$B$2</f>
        <v>0</v>
      </c>
      <c r="D27">
        <f>HousePmtsOutput!$C$2</f>
        <v>0</v>
      </c>
      <c r="E27" s="4">
        <f>HousePmtsOutput!$D$2</f>
        <v>0</v>
      </c>
      <c r="F27" s="4">
        <f>HousePmtsOutput!$E$2</f>
        <v>0</v>
      </c>
      <c r="G27">
        <f>HousePmtsOutput!$F$2</f>
        <v>0</v>
      </c>
      <c r="H27">
        <f>HousePmtsOutput!$G$2</f>
        <v>0</v>
      </c>
      <c r="I27">
        <f>HousePmtsOutput!$H$2</f>
        <v>0</v>
      </c>
      <c r="J27">
        <f>HousePmtsOutput!$I$2</f>
        <v>0</v>
      </c>
      <c r="K27" s="4">
        <f>HousePmtsOutput!$J$2</f>
        <v>0</v>
      </c>
      <c r="L27">
        <f>HousePmtsOutput!$K$2</f>
        <v>0</v>
      </c>
      <c r="M27">
        <f>HousePmtsOutput!$L$2</f>
        <v>0</v>
      </c>
    </row>
    <row r="28" spans="2:14" x14ac:dyDescent="0.25">
      <c r="B28">
        <v>2</v>
      </c>
      <c r="C28">
        <f>HousePmtsOutput!$B$3</f>
        <v>0</v>
      </c>
      <c r="D28">
        <f>HousePmtsOutput!$C$3</f>
        <v>0</v>
      </c>
      <c r="E28" s="4">
        <f>HousePmtsOutput!$D$3</f>
        <v>0</v>
      </c>
      <c r="F28" s="4">
        <f>HousePmtsOutput!$E$3</f>
        <v>0</v>
      </c>
      <c r="G28">
        <f>HousePmtsOutput!$F$3</f>
        <v>0</v>
      </c>
      <c r="H28">
        <f>HousePmtsOutput!$G$3</f>
        <v>0</v>
      </c>
      <c r="I28">
        <f>HousePmtsOutput!$H$3</f>
        <v>0</v>
      </c>
      <c r="J28">
        <f>HousePmtsOutput!$I$3</f>
        <v>0</v>
      </c>
      <c r="K28" s="4">
        <f>HousePmtsOutput!$J$3</f>
        <v>0</v>
      </c>
      <c r="L28">
        <f>HousePmtsOutput!$K$3</f>
        <v>0</v>
      </c>
      <c r="M28">
        <f>HousePmtsOutput!$L$3</f>
        <v>0</v>
      </c>
    </row>
    <row r="29" spans="2:14" x14ac:dyDescent="0.25">
      <c r="B29">
        <v>3</v>
      </c>
      <c r="C29">
        <f>HousePmtsOutput!$B$4</f>
        <v>0</v>
      </c>
      <c r="D29">
        <f>HousePmtsOutput!$C$4</f>
        <v>0</v>
      </c>
      <c r="E29" s="4">
        <f>HousePmtsOutput!$D$4</f>
        <v>0</v>
      </c>
      <c r="F29" s="4">
        <f>HousePmtsOutput!$E$4</f>
        <v>0</v>
      </c>
      <c r="G29">
        <f>HousePmtsOutput!$F$4</f>
        <v>0</v>
      </c>
      <c r="H29">
        <f>HousePmtsOutput!$G$4</f>
        <v>0</v>
      </c>
      <c r="I29">
        <f>HousePmtsOutput!$H$4</f>
        <v>0</v>
      </c>
      <c r="J29">
        <f>HousePmtsOutput!$I$4</f>
        <v>0</v>
      </c>
      <c r="K29" s="4">
        <f>HousePmtsOutput!$J$4</f>
        <v>0</v>
      </c>
      <c r="L29">
        <f>HousePmtsOutput!$K$4</f>
        <v>0</v>
      </c>
      <c r="M29">
        <f>HousePmtsOutput!$L$4</f>
        <v>0</v>
      </c>
    </row>
    <row r="30" spans="2:14" x14ac:dyDescent="0.25">
      <c r="B30">
        <v>4</v>
      </c>
      <c r="C30">
        <f>HousePmtsOutput!$B$5</f>
        <v>0</v>
      </c>
      <c r="D30">
        <f>HousePmtsOutput!$C$5</f>
        <v>0</v>
      </c>
      <c r="E30" s="4">
        <f>HousePmtsOutput!$D$5</f>
        <v>0</v>
      </c>
      <c r="F30" s="4">
        <f>HousePmtsOutput!$E$5</f>
        <v>0</v>
      </c>
      <c r="G30">
        <f>HousePmtsOutput!$F$5</f>
        <v>0</v>
      </c>
      <c r="H30">
        <f>HousePmtsOutput!$G$5</f>
        <v>0</v>
      </c>
      <c r="I30">
        <f>HousePmtsOutput!$H$5</f>
        <v>0</v>
      </c>
      <c r="J30">
        <f>HousePmtsOutput!$I$5</f>
        <v>0</v>
      </c>
      <c r="K30" s="4">
        <f>HousePmtsOutput!$J$5</f>
        <v>0</v>
      </c>
      <c r="L30">
        <f>HousePmtsOutput!$K$5</f>
        <v>0</v>
      </c>
      <c r="M30">
        <f>HousePmtsOutput!$L$5</f>
        <v>0</v>
      </c>
    </row>
    <row r="31" spans="2:14" x14ac:dyDescent="0.25">
      <c r="B31">
        <v>5</v>
      </c>
      <c r="C31">
        <f>HousePmtsOutput!$B$6</f>
        <v>0</v>
      </c>
      <c r="D31">
        <f>HousePmtsOutput!$C$6</f>
        <v>0</v>
      </c>
      <c r="E31" s="4">
        <f>HousePmtsOutput!$D$6</f>
        <v>0</v>
      </c>
      <c r="F31" s="4">
        <f>HousePmtsOutput!$E$6</f>
        <v>0</v>
      </c>
      <c r="G31">
        <f>HousePmtsOutput!$F$6</f>
        <v>0</v>
      </c>
      <c r="H31">
        <f>HousePmtsOutput!$G$6</f>
        <v>0</v>
      </c>
      <c r="I31">
        <f>HousePmtsOutput!$H$6</f>
        <v>0</v>
      </c>
      <c r="J31">
        <f>HousePmtsOutput!$I$6</f>
        <v>0</v>
      </c>
      <c r="K31" s="4">
        <f>HousePmtsOutput!$J$6</f>
        <v>0</v>
      </c>
      <c r="L31">
        <f>HousePmtsOutput!$K$6</f>
        <v>0</v>
      </c>
      <c r="M31">
        <f>HousePmtsOutput!$L$6</f>
        <v>0</v>
      </c>
    </row>
    <row r="32" spans="2:14" x14ac:dyDescent="0.25">
      <c r="B32">
        <v>6</v>
      </c>
      <c r="C32">
        <f>HousePmtsOutput!$B$7</f>
        <v>0</v>
      </c>
      <c r="D32">
        <f>HousePmtsOutput!$C$7</f>
        <v>0</v>
      </c>
      <c r="E32" s="4">
        <f>HousePmtsOutput!$D$7</f>
        <v>0</v>
      </c>
      <c r="F32" s="4">
        <f>HousePmtsOutput!$E$7</f>
        <v>0</v>
      </c>
      <c r="G32">
        <f>HousePmtsOutput!$F$7</f>
        <v>0</v>
      </c>
      <c r="H32">
        <f>HousePmtsOutput!$G$7</f>
        <v>0</v>
      </c>
      <c r="I32">
        <f>HousePmtsOutput!$H$7</f>
        <v>0</v>
      </c>
      <c r="J32">
        <f>HousePmtsOutput!$I$7</f>
        <v>0</v>
      </c>
      <c r="K32" s="4">
        <f>HousePmtsOutput!$J$7</f>
        <v>0</v>
      </c>
      <c r="L32">
        <f>HousePmtsOutput!$K$7</f>
        <v>0</v>
      </c>
      <c r="M32">
        <f>HousePmtsOutput!$L$7</f>
        <v>0</v>
      </c>
    </row>
    <row r="33" spans="2:13" x14ac:dyDescent="0.25">
      <c r="B33">
        <v>7</v>
      </c>
      <c r="C33">
        <f>HousePmtsOutput!$B$8</f>
        <v>0</v>
      </c>
      <c r="D33">
        <f>HousePmtsOutput!$C$8</f>
        <v>0</v>
      </c>
      <c r="E33" s="4">
        <f>HousePmtsOutput!$D$8</f>
        <v>0</v>
      </c>
      <c r="F33" s="4">
        <f>HousePmtsOutput!$E$8</f>
        <v>0</v>
      </c>
      <c r="G33">
        <f>HousePmtsOutput!$F$8</f>
        <v>0</v>
      </c>
      <c r="H33">
        <f>HousePmtsOutput!$G$8</f>
        <v>0</v>
      </c>
      <c r="I33">
        <f>HousePmtsOutput!$H$8</f>
        <v>0</v>
      </c>
      <c r="J33">
        <f>HousePmtsOutput!$I$8</f>
        <v>0</v>
      </c>
      <c r="K33" s="4">
        <f>HousePmtsOutput!$J$8</f>
        <v>0</v>
      </c>
      <c r="L33">
        <f>HousePmtsOutput!$K$8</f>
        <v>0</v>
      </c>
      <c r="M33">
        <f>HousePmtsOutput!$L$8</f>
        <v>0</v>
      </c>
    </row>
    <row r="34" spans="2:13" x14ac:dyDescent="0.25">
      <c r="B34">
        <v>8</v>
      </c>
      <c r="C34">
        <f>HousePmtsOutput!$B$9</f>
        <v>0</v>
      </c>
      <c r="D34">
        <f>HousePmtsOutput!$C$9</f>
        <v>0</v>
      </c>
      <c r="E34" s="4">
        <f>HousePmtsOutput!$D$9</f>
        <v>0</v>
      </c>
      <c r="F34" s="4">
        <f>HousePmtsOutput!$E$9</f>
        <v>0</v>
      </c>
      <c r="G34">
        <f>HousePmtsOutput!$F$9</f>
        <v>0</v>
      </c>
      <c r="H34">
        <f>HousePmtsOutput!$G$9</f>
        <v>0</v>
      </c>
      <c r="I34">
        <f>HousePmtsOutput!$H$9</f>
        <v>0</v>
      </c>
      <c r="J34">
        <f>HousePmtsOutput!$I$9</f>
        <v>0</v>
      </c>
      <c r="K34" s="4">
        <f>HousePmtsOutput!$J$9</f>
        <v>0</v>
      </c>
      <c r="L34">
        <f>HousePmtsOutput!$K$9</f>
        <v>0</v>
      </c>
      <c r="M34">
        <f>HousePmtsOutput!$L$9</f>
        <v>0</v>
      </c>
    </row>
    <row r="35" spans="2:13" x14ac:dyDescent="0.25">
      <c r="B35">
        <v>9</v>
      </c>
      <c r="C35">
        <f>HousePmtsOutput!$B$10</f>
        <v>0</v>
      </c>
      <c r="D35">
        <f>HousePmtsOutput!$C$10</f>
        <v>0</v>
      </c>
      <c r="E35" s="4">
        <f>HousePmtsOutput!$D$10</f>
        <v>0</v>
      </c>
      <c r="F35" s="4">
        <f>HousePmtsOutput!$E$10</f>
        <v>0</v>
      </c>
      <c r="G35">
        <f>HousePmtsOutput!$F$10</f>
        <v>0</v>
      </c>
      <c r="H35">
        <f>HousePmtsOutput!$G$10</f>
        <v>0</v>
      </c>
      <c r="I35">
        <f>HousePmtsOutput!$H$10</f>
        <v>0</v>
      </c>
      <c r="J35">
        <f>HousePmtsOutput!$I$10</f>
        <v>0</v>
      </c>
      <c r="K35" s="4">
        <f>HousePmtsOutput!$J$10</f>
        <v>0</v>
      </c>
      <c r="L35">
        <f>HousePmtsOutput!$K$10</f>
        <v>0</v>
      </c>
      <c r="M35">
        <f>HousePmtsOutput!$L$10</f>
        <v>0</v>
      </c>
    </row>
    <row r="36" spans="2:13" x14ac:dyDescent="0.25">
      <c r="B36">
        <v>10</v>
      </c>
      <c r="C36">
        <f>HousePmtsOutput!$B$11</f>
        <v>0</v>
      </c>
      <c r="D36">
        <f>HousePmtsOutput!$C$11</f>
        <v>0</v>
      </c>
      <c r="E36" s="4">
        <f>HousePmtsOutput!$D$11</f>
        <v>0</v>
      </c>
      <c r="F36" s="4">
        <f>HousePmtsOutput!$E$11</f>
        <v>0</v>
      </c>
      <c r="G36">
        <f>HousePmtsOutput!$F$11</f>
        <v>0</v>
      </c>
      <c r="H36">
        <f>HousePmtsOutput!$G$11</f>
        <v>0</v>
      </c>
      <c r="I36">
        <f>HousePmtsOutput!$H$11</f>
        <v>0</v>
      </c>
      <c r="J36">
        <f>HousePmtsOutput!$I$11</f>
        <v>0</v>
      </c>
      <c r="K36" s="4">
        <f>HousePmtsOutput!$J$11</f>
        <v>0</v>
      </c>
      <c r="L36">
        <f>HousePmtsOutput!$K$11</f>
        <v>0</v>
      </c>
      <c r="M36">
        <f>HousePmtsOutput!$L$11</f>
        <v>0</v>
      </c>
    </row>
    <row r="37" spans="2:13" x14ac:dyDescent="0.25">
      <c r="B37">
        <v>11</v>
      </c>
      <c r="C37">
        <f>HousePmtsOutput!$B$12</f>
        <v>0</v>
      </c>
      <c r="D37">
        <f>HousePmtsOutput!$C$12</f>
        <v>0</v>
      </c>
      <c r="E37" s="4">
        <f>HousePmtsOutput!$D$12</f>
        <v>0</v>
      </c>
      <c r="F37" s="4">
        <f>HousePmtsOutput!$E$12</f>
        <v>0</v>
      </c>
      <c r="G37">
        <f>HousePmtsOutput!$F$12</f>
        <v>0</v>
      </c>
      <c r="H37">
        <f>HousePmtsOutput!$G$12</f>
        <v>0</v>
      </c>
      <c r="I37">
        <f>HousePmtsOutput!$H$12</f>
        <v>0</v>
      </c>
      <c r="J37">
        <f>HousePmtsOutput!$I$12</f>
        <v>0</v>
      </c>
      <c r="K37" s="4">
        <f>HousePmtsOutput!$J$12</f>
        <v>0</v>
      </c>
      <c r="L37">
        <f>HousePmtsOutput!$K$12</f>
        <v>0</v>
      </c>
      <c r="M37">
        <f>HousePmtsOutput!$L$12</f>
        <v>0</v>
      </c>
    </row>
    <row r="38" spans="2:13" x14ac:dyDescent="0.25">
      <c r="B38">
        <v>12</v>
      </c>
      <c r="C38">
        <f>HousePmtsOutput!$B$13</f>
        <v>0</v>
      </c>
      <c r="D38">
        <f>HousePmtsOutput!$C$13</f>
        <v>0</v>
      </c>
      <c r="E38" s="4">
        <f>HousePmtsOutput!$D$13</f>
        <v>0</v>
      </c>
      <c r="F38" s="4">
        <f>HousePmtsOutput!$E$13</f>
        <v>0</v>
      </c>
      <c r="G38">
        <f>HousePmtsOutput!$F$13</f>
        <v>0</v>
      </c>
      <c r="H38">
        <f>HousePmtsOutput!$G$13</f>
        <v>0</v>
      </c>
      <c r="I38">
        <f>HousePmtsOutput!$H$13</f>
        <v>0</v>
      </c>
      <c r="J38">
        <f>HousePmtsOutput!$I$13</f>
        <v>0</v>
      </c>
      <c r="K38" s="4">
        <f>HousePmtsOutput!$J$13</f>
        <v>0</v>
      </c>
      <c r="L38">
        <f>HousePmtsOutput!$K$13</f>
        <v>0</v>
      </c>
      <c r="M38">
        <f>HousePmtsOutput!$L$13</f>
        <v>0</v>
      </c>
    </row>
    <row r="39" spans="2:13" x14ac:dyDescent="0.25">
      <c r="B39">
        <v>13</v>
      </c>
      <c r="C39">
        <f>HousePmtsOutput!$B$14</f>
        <v>0</v>
      </c>
      <c r="D39">
        <f>HousePmtsOutput!$C$14</f>
        <v>0</v>
      </c>
      <c r="E39" s="4">
        <f>HousePmtsOutput!$D$14</f>
        <v>0</v>
      </c>
      <c r="F39" s="4">
        <f>HousePmtsOutput!$E$14</f>
        <v>0</v>
      </c>
      <c r="G39">
        <f>HousePmtsOutput!$F$14</f>
        <v>0</v>
      </c>
      <c r="H39">
        <f>HousePmtsOutput!$G$14</f>
        <v>0</v>
      </c>
      <c r="I39">
        <f>HousePmtsOutput!$H$14</f>
        <v>0</v>
      </c>
      <c r="J39">
        <f>HousePmtsOutput!$I$14</f>
        <v>0</v>
      </c>
      <c r="K39" s="4">
        <f>HousePmtsOutput!$J$14</f>
        <v>0</v>
      </c>
      <c r="L39">
        <f>HousePmtsOutput!$K$14</f>
        <v>0</v>
      </c>
      <c r="M39">
        <f>HousePmtsOutput!$L$14</f>
        <v>0</v>
      </c>
    </row>
    <row r="40" spans="2:13" x14ac:dyDescent="0.25">
      <c r="B40">
        <v>14</v>
      </c>
      <c r="C40">
        <f>HousePmtsOutput!$B$15</f>
        <v>0</v>
      </c>
      <c r="D40">
        <f>HousePmtsOutput!$C$15</f>
        <v>0</v>
      </c>
      <c r="E40" s="4">
        <f>HousePmtsOutput!$D$15</f>
        <v>0</v>
      </c>
      <c r="F40" s="4">
        <f>HousePmtsOutput!$E$15</f>
        <v>0</v>
      </c>
      <c r="G40">
        <f>HousePmtsOutput!$F$15</f>
        <v>0</v>
      </c>
      <c r="H40">
        <f>HousePmtsOutput!$G$15</f>
        <v>0</v>
      </c>
      <c r="I40">
        <f>HousePmtsOutput!$H$15</f>
        <v>0</v>
      </c>
      <c r="J40">
        <f>HousePmtsOutput!$I$15</f>
        <v>0</v>
      </c>
      <c r="K40" s="4">
        <f>HousePmtsOutput!$J$15</f>
        <v>0</v>
      </c>
      <c r="L40">
        <f>HousePmtsOutput!$K$15</f>
        <v>0</v>
      </c>
      <c r="M40">
        <f>HousePmtsOutput!$L$15</f>
        <v>0</v>
      </c>
    </row>
    <row r="41" spans="2:13" x14ac:dyDescent="0.25">
      <c r="B41">
        <v>15</v>
      </c>
      <c r="C41">
        <f>HousePmtsOutput!$B$16</f>
        <v>0</v>
      </c>
      <c r="D41">
        <f>HousePmtsOutput!$C$16</f>
        <v>0</v>
      </c>
      <c r="E41" s="4">
        <f>HousePmtsOutput!$D$16</f>
        <v>0</v>
      </c>
      <c r="F41" s="4">
        <f>HousePmtsOutput!$E$16</f>
        <v>0</v>
      </c>
      <c r="G41">
        <f>HousePmtsOutput!$F$16</f>
        <v>0</v>
      </c>
      <c r="H41">
        <f>HousePmtsOutput!$G$16</f>
        <v>0</v>
      </c>
      <c r="I41">
        <f>HousePmtsOutput!$H$16</f>
        <v>0</v>
      </c>
      <c r="J41">
        <f>HousePmtsOutput!$I$16</f>
        <v>0</v>
      </c>
      <c r="K41" s="4">
        <f>HousePmtsOutput!$J$16</f>
        <v>0</v>
      </c>
      <c r="L41">
        <f>HousePmtsOutput!$K$16</f>
        <v>0</v>
      </c>
      <c r="M41">
        <f>HousePmtsOutput!$L$16</f>
        <v>0</v>
      </c>
    </row>
    <row r="42" spans="2:13" x14ac:dyDescent="0.25">
      <c r="B42">
        <v>16</v>
      </c>
      <c r="C42">
        <f>HousePmtsOutput!$B$17</f>
        <v>0</v>
      </c>
      <c r="D42">
        <f>HousePmtsOutput!$C$17</f>
        <v>0</v>
      </c>
      <c r="E42" s="4">
        <f>HousePmtsOutput!$D$17</f>
        <v>0</v>
      </c>
      <c r="F42" s="4">
        <f>HousePmtsOutput!$E$17</f>
        <v>0</v>
      </c>
      <c r="G42">
        <f>HousePmtsOutput!$F$17</f>
        <v>0</v>
      </c>
      <c r="H42">
        <f>HousePmtsOutput!$G$17</f>
        <v>0</v>
      </c>
      <c r="I42">
        <f>HousePmtsOutput!$H$17</f>
        <v>0</v>
      </c>
      <c r="J42">
        <f>HousePmtsOutput!$I$17</f>
        <v>0</v>
      </c>
      <c r="K42" s="4">
        <f>HousePmtsOutput!$J$17</f>
        <v>0</v>
      </c>
      <c r="L42">
        <f>HousePmtsOutput!$K$17</f>
        <v>0</v>
      </c>
      <c r="M42">
        <f>HousePmtsOutput!$L$17</f>
        <v>0</v>
      </c>
    </row>
    <row r="43" spans="2:13" x14ac:dyDescent="0.25">
      <c r="B43">
        <v>17</v>
      </c>
      <c r="C43">
        <f>HousePmtsOutput!$B$18</f>
        <v>0</v>
      </c>
      <c r="D43">
        <f>HousePmtsOutput!$C$18</f>
        <v>0</v>
      </c>
      <c r="E43" s="4">
        <f>HousePmtsOutput!$D$18</f>
        <v>0</v>
      </c>
      <c r="F43" s="4">
        <f>HousePmtsOutput!$E$18</f>
        <v>0</v>
      </c>
      <c r="G43">
        <f>HousePmtsOutput!$F$18</f>
        <v>0</v>
      </c>
      <c r="H43">
        <f>HousePmtsOutput!$G$18</f>
        <v>0</v>
      </c>
      <c r="I43">
        <f>HousePmtsOutput!$H$18</f>
        <v>0</v>
      </c>
      <c r="J43">
        <f>HousePmtsOutput!$I$18</f>
        <v>0</v>
      </c>
      <c r="K43" s="4">
        <f>HousePmtsOutput!$J$18</f>
        <v>0</v>
      </c>
      <c r="L43">
        <f>HousePmtsOutput!$K$18</f>
        <v>0</v>
      </c>
      <c r="M43">
        <f>HousePmtsOutput!$L$18</f>
        <v>0</v>
      </c>
    </row>
    <row r="44" spans="2:13" x14ac:dyDescent="0.25">
      <c r="B44">
        <v>18</v>
      </c>
      <c r="C44">
        <f>HousePmtsOutput!$B$19</f>
        <v>0</v>
      </c>
      <c r="D44">
        <f>HousePmtsOutput!$C$19</f>
        <v>0</v>
      </c>
      <c r="E44" s="4">
        <f>HousePmtsOutput!$D$19</f>
        <v>0</v>
      </c>
      <c r="F44" s="4">
        <f>HousePmtsOutput!$E$19</f>
        <v>0</v>
      </c>
      <c r="G44">
        <f>HousePmtsOutput!$F$19</f>
        <v>0</v>
      </c>
      <c r="H44">
        <f>HousePmtsOutput!$G$19</f>
        <v>0</v>
      </c>
      <c r="I44">
        <f>HousePmtsOutput!$H$19</f>
        <v>0</v>
      </c>
      <c r="J44">
        <f>HousePmtsOutput!$I$19</f>
        <v>0</v>
      </c>
      <c r="K44" s="4">
        <f>HousePmtsOutput!$J$19</f>
        <v>0</v>
      </c>
      <c r="L44">
        <f>HousePmtsOutput!$K$19</f>
        <v>0</v>
      </c>
      <c r="M44">
        <f>HousePmtsOutput!$L$19</f>
        <v>0</v>
      </c>
    </row>
    <row r="45" spans="2:13" x14ac:dyDescent="0.25">
      <c r="B45">
        <v>19</v>
      </c>
      <c r="C45">
        <f>HousePmtsOutput!$B$20</f>
        <v>0</v>
      </c>
      <c r="D45">
        <f>HousePmtsOutput!$C$20</f>
        <v>0</v>
      </c>
      <c r="E45" s="4">
        <f>HousePmtsOutput!$D$20</f>
        <v>0</v>
      </c>
      <c r="F45" s="4">
        <f>HousePmtsOutput!$E$20</f>
        <v>0</v>
      </c>
      <c r="G45">
        <f>HousePmtsOutput!$F$20</f>
        <v>0</v>
      </c>
      <c r="H45">
        <f>HousePmtsOutput!$G$20</f>
        <v>0</v>
      </c>
      <c r="I45">
        <f>HousePmtsOutput!$H$20</f>
        <v>0</v>
      </c>
      <c r="J45">
        <f>HousePmtsOutput!$I$20</f>
        <v>0</v>
      </c>
      <c r="K45" s="4">
        <f>HousePmtsOutput!$J$20</f>
        <v>0</v>
      </c>
      <c r="L45">
        <f>HousePmtsOutput!$K$20</f>
        <v>0</v>
      </c>
      <c r="M45">
        <f>HousePmtsOutput!$L$20</f>
        <v>0</v>
      </c>
    </row>
    <row r="46" spans="2:13" x14ac:dyDescent="0.25">
      <c r="B46">
        <v>20</v>
      </c>
      <c r="C46">
        <f>HousePmtsOutput!$B$21</f>
        <v>0</v>
      </c>
      <c r="D46">
        <f>HousePmtsOutput!$C$21</f>
        <v>0</v>
      </c>
      <c r="E46" s="4">
        <f>HousePmtsOutput!$D$21</f>
        <v>0</v>
      </c>
      <c r="F46" s="4">
        <f>HousePmtsOutput!$E$21</f>
        <v>0</v>
      </c>
      <c r="G46">
        <f>HousePmtsOutput!$F$21</f>
        <v>0</v>
      </c>
      <c r="H46">
        <f>HousePmtsOutput!$G$21</f>
        <v>0</v>
      </c>
      <c r="I46">
        <f>HousePmtsOutput!$H$21</f>
        <v>0</v>
      </c>
      <c r="J46">
        <f>HousePmtsOutput!$I$21</f>
        <v>0</v>
      </c>
      <c r="K46" s="4">
        <f>HousePmtsOutput!$J$21</f>
        <v>0</v>
      </c>
      <c r="L46">
        <f>HousePmtsOutput!$K$21</f>
        <v>0</v>
      </c>
      <c r="M46">
        <f>HousePmtsOutput!$L$21</f>
        <v>0</v>
      </c>
    </row>
    <row r="49" spans="3:17" x14ac:dyDescent="0.25">
      <c r="C49" s="7"/>
      <c r="D49" s="7"/>
      <c r="E49" s="7"/>
      <c r="F49" s="7" t="s">
        <v>250</v>
      </c>
      <c r="G49" s="7"/>
      <c r="H49" s="7"/>
      <c r="I49" s="7"/>
      <c r="J49" s="7"/>
      <c r="K49" s="7"/>
    </row>
    <row r="50" spans="3:17" x14ac:dyDescent="0.25">
      <c r="C50" s="7" t="s">
        <v>247</v>
      </c>
      <c r="D50" s="7" t="s">
        <v>146</v>
      </c>
      <c r="E50" s="7" t="s">
        <v>69</v>
      </c>
      <c r="F50" s="7" t="s">
        <v>140</v>
      </c>
      <c r="G50" s="7" t="s">
        <v>71</v>
      </c>
      <c r="H50" s="7" t="s">
        <v>252</v>
      </c>
      <c r="I50" s="7" t="s">
        <v>248</v>
      </c>
      <c r="J50" s="7" t="s">
        <v>249</v>
      </c>
      <c r="K50" s="7" t="s">
        <v>251</v>
      </c>
    </row>
    <row r="52" spans="3:17" x14ac:dyDescent="0.25">
      <c r="C52" s="14" t="str">
        <f>IF(RealPropertyOutputs!$B$2=0," ",RealPropertyOutputs!$B$2)</f>
        <v xml:space="preserve"> </v>
      </c>
      <c r="D52" s="18">
        <f>JohnsInput!$B$19</f>
        <v>0</v>
      </c>
      <c r="E52" s="18">
        <f t="shared" ref="E52:E61" si="0">IF(AND($C$27=C52,$D$27="First"),$E$27,IF(AND($C$28=C52,$D$28="First"),$E$28,IF(AND($C$29=C52,$D$29="First"),$E$29,IF(AND($C$30=C52,$D$30="First"),$E$30,IF(AND($C$31=C52,$D$31="First"),$E$31,IF(AND($C$32=C52,$D$32="First"),$E$32,IF(AND($C$33=C52,$D$33="First"),$E$33,IF(AND($C$34=C52,$D$34="First"),$E$34,IF(AND($C$35=C52,$D$35="First"),$E$35,IF(AND($C$36=C52,$D$36="First"),$E$36,IF(AND($C$37=C52,$D$37="First"),$E$37,IF(AND($C$38=C52,$D$38="First"),$E$38,IF(AND($C$39=C52,$D$39="First"),$E$39,IF(AND($C$40=C52,$D$40="First"),$E$40,IF(AND($C$41=C52,$D$41="First"),$E$41,IF(AND($C$42=C52,$D$42="First"),$E$42,IF(AND($C$43=C52,$D$43="First"),$E$43,IF(AND($C$44=C52,$D$44="First"),$E$44,IF(AND($C$45=C52,$D$45="First"),$E$45,IF(AND($C$46=C52,$D$46="First"),$E$46,0))))))))))))))))))))</f>
        <v>0</v>
      </c>
      <c r="F52" s="18">
        <f>IF(D52-E52&gt;0,D52-E52,0)</f>
        <v>0</v>
      </c>
      <c r="G52" s="18">
        <f t="shared" ref="G52:G61" si="1">IF(AND($C$27=C52,$D$27="Second"),$E$27,IF(AND($C$28=C52,$D$28="Second"),$E$28,IF(AND($C$29=C52,$D$29="Second"),$E$29,IF(AND($C$30=C52,$D$30="Second"),$E$30,IF(AND($C$31=C52,$D$31="Second"),$E$31,IF(AND($C$32=C52,$D$32="Second"),$E$32,IF(AND($C$33=C52,$D$33="Second"),$E$33,IF(AND($C$34=C52,$D$34="Second"),$E$34,IF(AND($C$35=C52,$D$35="Second"),$E$35,IF(AND($C$36=C52,$D$36="Second"),$E$36,IF(AND($C$37=C52,$D$37="Second"),$E$37,IF(AND($C$38=C52,$D$38="Second"),$E$38,IF(AND($C$39=C52,$D$39="Second"),$E$39,IF(AND($C$40=C52,$D$40="Second"),$E$40,IF(AND($C$41=C52,$D$41="Second"),$E$41,IF(AND($C$42=C52,$D$42="Second"),$E$42,IF(AND($C$43=C52,$D$43="Second"),$E$43,IF(AND($C$44=C52,$D$44="Second"),$E$44,IF(AND($C$45=C52,$D$45="Second"),$E$45,IF(AND($C$46=C52,$D$46="Second"),$E$46,0))))))))))))))))))))</f>
        <v>0</v>
      </c>
      <c r="H52" s="18">
        <f t="shared" ref="H52:H61" si="2">IF(AND($C$27=C52,$D$27="Third"),$E$27,IF(AND($C$28=C52,$D$28="Third"),$E$28,IF(AND($C$29=C52,$D$29="Third"),$E$29,IF(AND($C$30=C52,$D$30="Third"),$E$30,IF(AND($C$31=C52,$D$31="Third"),$E$31,IF(AND($C$32=C52,$D$32="Third"),$E$32,IF(AND($C$33=C52,$D$33="Third"),$E$33,IF(AND($C$34=C52,$D$34="Third"),$E$34,IF(AND($C$35=C52,$D$35="Third"),$E$35,IF(AND($C$36=C52,$D$36="Third"),$E$36,IF(AND($C$37=C52,$D$37="Third"),$E$37,IF(AND($C$38=C52,$D$38="Third"),$E$38,IF(AND($C$39=C52,$D$39="Third"),$E$39,IF(AND($C$40=C52,$D$40="Third"),$E$40,IF(AND($C$41=C52,$D$41="Third"),$E$41,IF(AND($C$42=C52,$D$42="Third"),$E$42,IF(AND($C$43=C52,$D$43="Third"),$E$43,IF(AND($C$44=C52,$D$44="Third"),$E$44,IF(AND($C$45=C52,$D$45="Third"),$E$45,IF(AND($C$46=C52,$D$46="Third"),$E$46,0))))))))))))))))))))</f>
        <v>0</v>
      </c>
      <c r="I52" s="18">
        <f t="shared" ref="I52:I61" si="3">IF(AND($C$27=C52,$D$27="Equity Line of Credit"),$E$27,IF(AND($C$28=C52,$D$28="Equity Line of Credit"),$E$28,IF(AND($C$29=C52,$D$29="Equity Line of Credit"),$E$29,IF(AND($C$30=C52,$D$30="Equity Line of Credit"),$E$30,IF(AND($C$31=C52,$D$31="Equity Line of Credit"),$E$31,IF(AND($C$32=C52,$D$32="Equity Line of Credit"),$E$32,IF(AND($C$33=C52,$D$33="Equity Line of Credit"),$E$33,IF(AND($C$34=C52,$D$34="Equity Line of Credit"),$E$34,IF(AND($C$35=C52,$D$35="Equity Line of Credit"),$E$35,IF(AND($C$36=C52,$D$36="Equity Line of Credit"),$E$36,IF(AND($C$37=C52,$D$37="Equity Line of Credit"),$E$37,IF(AND($C$38=C52,$D$38="Equity Line of Credit"),$E$38,IF(AND($C$39=C52,$D$39="Equity Line of Credit"),$E$39,IF(AND($C$40=C52,$D$40="Equity Line of Credit"),$E$40,IF(AND($C$41=C52,$D$41="Equity Line of Credit"),$E$41,IF(AND($C$42=C52,$D$42="Equity Line of Credit"),$E$42,IF(AND($C$43=C52,$D$43="Equity Line of Credit"),$E$43,IF(AND($C$44=C52,$D$44="Equity Line of Credit"),$E$44,IF(AND($C$45=C52,$D$45="Equity Line of Credit"),$E$45,IF(AND($C$46=C52,$D$46="Equity Line of Credit"),$E$46,0))))))))))))))))))))</f>
        <v>0</v>
      </c>
      <c r="J52" s="18">
        <f>E52+G52+H52+I52</f>
        <v>0</v>
      </c>
      <c r="K52" s="18">
        <f>IF($D$52-$J$52&gt;0,$D$52-$J$52,0)</f>
        <v>0</v>
      </c>
    </row>
    <row r="53" spans="3:17" x14ac:dyDescent="0.25">
      <c r="C53" s="14" t="str">
        <f>IF(RealPropertyOutputs!$B$3=0," ",RealPropertyOutputs!$B$3)</f>
        <v xml:space="preserve"> </v>
      </c>
      <c r="D53" s="18">
        <f>JohnsInput!$B$20</f>
        <v>0</v>
      </c>
      <c r="E53" s="18">
        <f t="shared" si="0"/>
        <v>0</v>
      </c>
      <c r="F53" s="18">
        <f t="shared" ref="F53:F61" si="4">IF(D53-E53&gt;0,D53-E53,0)</f>
        <v>0</v>
      </c>
      <c r="G53" s="18">
        <f t="shared" si="1"/>
        <v>0</v>
      </c>
      <c r="H53" s="18">
        <f t="shared" si="2"/>
        <v>0</v>
      </c>
      <c r="I53" s="18">
        <f t="shared" si="3"/>
        <v>0</v>
      </c>
      <c r="J53" s="18">
        <f t="shared" ref="J53:J61" si="5">E53+G53+H53+I53</f>
        <v>0</v>
      </c>
      <c r="K53" s="18">
        <f>IF($D$53-$J$53&gt;0,$D$53-$J$53,0)</f>
        <v>0</v>
      </c>
    </row>
    <row r="54" spans="3:17" x14ac:dyDescent="0.25">
      <c r="C54" s="14" t="str">
        <f>IF(RealPropertyOutputs!$B$4=0," ",RealPropertyOutputs!$B$4)</f>
        <v xml:space="preserve"> </v>
      </c>
      <c r="D54" s="18">
        <f>JohnsInput!$B$21</f>
        <v>0</v>
      </c>
      <c r="E54" s="18">
        <f t="shared" si="0"/>
        <v>0</v>
      </c>
      <c r="F54" s="18">
        <f t="shared" si="4"/>
        <v>0</v>
      </c>
      <c r="G54" s="18">
        <f t="shared" si="1"/>
        <v>0</v>
      </c>
      <c r="H54" s="18">
        <f t="shared" si="2"/>
        <v>0</v>
      </c>
      <c r="I54" s="18">
        <f t="shared" si="3"/>
        <v>0</v>
      </c>
      <c r="J54" s="18">
        <f t="shared" si="5"/>
        <v>0</v>
      </c>
      <c r="K54" s="18">
        <f>IF($D$54-$J$54&gt;0,$D$54-$J$54,0)</f>
        <v>0</v>
      </c>
    </row>
    <row r="55" spans="3:17" x14ac:dyDescent="0.25">
      <c r="C55" s="14" t="str">
        <f>IF(RealPropertyOutputs!$B$5=0," ",RealPropertyOutputs!$B$5)</f>
        <v xml:space="preserve"> </v>
      </c>
      <c r="D55" s="18">
        <f>JohnsInput!$B$22</f>
        <v>0</v>
      </c>
      <c r="E55" s="18">
        <f t="shared" si="0"/>
        <v>0</v>
      </c>
      <c r="F55" s="18">
        <f t="shared" si="4"/>
        <v>0</v>
      </c>
      <c r="G55" s="18">
        <f t="shared" si="1"/>
        <v>0</v>
      </c>
      <c r="H55" s="18">
        <f t="shared" si="2"/>
        <v>0</v>
      </c>
      <c r="I55" s="18">
        <f t="shared" si="3"/>
        <v>0</v>
      </c>
      <c r="J55" s="18">
        <f t="shared" si="5"/>
        <v>0</v>
      </c>
      <c r="K55" s="18">
        <f>IF($D$55-$J$55&gt;0,$D$55-$J$55,0)</f>
        <v>0</v>
      </c>
    </row>
    <row r="56" spans="3:17" x14ac:dyDescent="0.25">
      <c r="C56" s="14" t="str">
        <f>IF(RealPropertyOutputs!$B$6=0," ",RealPropertyOutputs!$B$6)</f>
        <v xml:space="preserve"> </v>
      </c>
      <c r="D56" s="18">
        <f>JohnsInput!$B$23</f>
        <v>0</v>
      </c>
      <c r="E56" s="18">
        <f t="shared" si="0"/>
        <v>0</v>
      </c>
      <c r="F56" s="18">
        <f t="shared" si="4"/>
        <v>0</v>
      </c>
      <c r="G56" s="18">
        <f t="shared" si="1"/>
        <v>0</v>
      </c>
      <c r="H56" s="18">
        <f t="shared" si="2"/>
        <v>0</v>
      </c>
      <c r="I56" s="18">
        <f t="shared" si="3"/>
        <v>0</v>
      </c>
      <c r="J56" s="18">
        <f t="shared" si="5"/>
        <v>0</v>
      </c>
      <c r="K56" s="18">
        <f>IF($D$56-$J$56&gt;0,$D$56-$J$56,0)</f>
        <v>0</v>
      </c>
    </row>
    <row r="57" spans="3:17" x14ac:dyDescent="0.25">
      <c r="C57" s="14" t="str">
        <f>IF(RealPropertyOutputs!$B$7=0," ",RealPropertyOutputs!$B$7)</f>
        <v xml:space="preserve"> </v>
      </c>
      <c r="D57" s="18">
        <f>JohnsInput!$B$24</f>
        <v>0</v>
      </c>
      <c r="E57" s="18">
        <f t="shared" si="0"/>
        <v>0</v>
      </c>
      <c r="F57" s="18">
        <f t="shared" si="4"/>
        <v>0</v>
      </c>
      <c r="G57" s="18">
        <f t="shared" si="1"/>
        <v>0</v>
      </c>
      <c r="H57" s="18">
        <f t="shared" si="2"/>
        <v>0</v>
      </c>
      <c r="I57" s="18">
        <f t="shared" si="3"/>
        <v>0</v>
      </c>
      <c r="J57" s="18">
        <f t="shared" si="5"/>
        <v>0</v>
      </c>
      <c r="K57" s="18">
        <f>IF($D$57-$J$57&gt;0,$D$57-$J$57,0)</f>
        <v>0</v>
      </c>
    </row>
    <row r="58" spans="3:17" x14ac:dyDescent="0.25">
      <c r="C58" s="14" t="str">
        <f>IF(RealPropertyOutputs!$B$8=0," ",RealPropertyOutputs!$B$8)</f>
        <v xml:space="preserve"> </v>
      </c>
      <c r="D58" s="18">
        <f>JohnsInput!$B$25</f>
        <v>0</v>
      </c>
      <c r="E58" s="18">
        <f t="shared" si="0"/>
        <v>0</v>
      </c>
      <c r="F58" s="18">
        <f t="shared" si="4"/>
        <v>0</v>
      </c>
      <c r="G58" s="18">
        <f t="shared" si="1"/>
        <v>0</v>
      </c>
      <c r="H58" s="18">
        <f t="shared" si="2"/>
        <v>0</v>
      </c>
      <c r="I58" s="18">
        <f t="shared" si="3"/>
        <v>0</v>
      </c>
      <c r="J58" s="18">
        <f t="shared" si="5"/>
        <v>0</v>
      </c>
      <c r="K58" s="18">
        <f>IF($D$58-$J$58&gt;0,$D$58-$J$58,0)</f>
        <v>0</v>
      </c>
    </row>
    <row r="59" spans="3:17" x14ac:dyDescent="0.25">
      <c r="C59" s="14" t="str">
        <f>IF(RealPropertyOutputs!$B$9=0," ",RealPropertyOutputs!$B$9)</f>
        <v xml:space="preserve"> </v>
      </c>
      <c r="D59" s="18">
        <f>JohnsInput!$B$26</f>
        <v>0</v>
      </c>
      <c r="E59" s="18">
        <f t="shared" si="0"/>
        <v>0</v>
      </c>
      <c r="F59" s="18">
        <f t="shared" si="4"/>
        <v>0</v>
      </c>
      <c r="G59" s="18">
        <f t="shared" si="1"/>
        <v>0</v>
      </c>
      <c r="H59" s="18">
        <f t="shared" si="2"/>
        <v>0</v>
      </c>
      <c r="I59" s="18">
        <f t="shared" si="3"/>
        <v>0</v>
      </c>
      <c r="J59" s="18">
        <f t="shared" si="5"/>
        <v>0</v>
      </c>
      <c r="K59" s="18">
        <f>IF($D$59-$J$59&gt;0,$D$59-$J$59,0)</f>
        <v>0</v>
      </c>
    </row>
    <row r="60" spans="3:17" x14ac:dyDescent="0.25">
      <c r="C60" s="14" t="str">
        <f>IF(RealPropertyOutputs!$B$10=0," ",RealPropertyOutputs!$B$10)</f>
        <v xml:space="preserve"> </v>
      </c>
      <c r="D60" s="18">
        <f>JohnsInput!$B$27</f>
        <v>0</v>
      </c>
      <c r="E60" s="18">
        <f t="shared" si="0"/>
        <v>0</v>
      </c>
      <c r="F60" s="18">
        <f t="shared" si="4"/>
        <v>0</v>
      </c>
      <c r="G60" s="18">
        <f t="shared" si="1"/>
        <v>0</v>
      </c>
      <c r="H60" s="18">
        <f t="shared" si="2"/>
        <v>0</v>
      </c>
      <c r="I60" s="18">
        <f t="shared" si="3"/>
        <v>0</v>
      </c>
      <c r="J60" s="18">
        <f t="shared" si="5"/>
        <v>0</v>
      </c>
      <c r="K60" s="18">
        <f>IF($D$60-$J$60&gt;0,$D$60-$J$60,0)</f>
        <v>0</v>
      </c>
    </row>
    <row r="61" spans="3:17" x14ac:dyDescent="0.25">
      <c r="C61" s="14" t="str">
        <f>IF(RealPropertyOutputs!$B$11=0," ",RealPropertyOutputs!$B$11)</f>
        <v xml:space="preserve"> </v>
      </c>
      <c r="D61" s="18">
        <f>JohnsInput!$B$28</f>
        <v>0</v>
      </c>
      <c r="E61" s="18">
        <f t="shared" si="0"/>
        <v>0</v>
      </c>
      <c r="F61" s="18">
        <f t="shared" si="4"/>
        <v>0</v>
      </c>
      <c r="G61" s="18">
        <f t="shared" si="1"/>
        <v>0</v>
      </c>
      <c r="H61" s="18">
        <f t="shared" si="2"/>
        <v>0</v>
      </c>
      <c r="I61" s="18">
        <f t="shared" si="3"/>
        <v>0</v>
      </c>
      <c r="J61" s="18">
        <f t="shared" si="5"/>
        <v>0</v>
      </c>
      <c r="K61" s="18">
        <f>IF($D$61-$J$61&gt;0,$D$61-$J$61,0)</f>
        <v>0</v>
      </c>
    </row>
    <row r="64" spans="3:17" x14ac:dyDescent="0.25">
      <c r="C64" s="8" t="s">
        <v>247</v>
      </c>
      <c r="D64" s="8" t="s">
        <v>257</v>
      </c>
      <c r="E64" s="8" t="s">
        <v>253</v>
      </c>
      <c r="F64" s="8" t="s">
        <v>261</v>
      </c>
      <c r="G64" s="8" t="s">
        <v>258</v>
      </c>
      <c r="H64" s="8" t="s">
        <v>254</v>
      </c>
      <c r="I64" s="8" t="s">
        <v>262</v>
      </c>
      <c r="J64" s="8" t="s">
        <v>259</v>
      </c>
      <c r="K64" s="8" t="s">
        <v>255</v>
      </c>
      <c r="L64" s="8" t="s">
        <v>263</v>
      </c>
      <c r="M64" s="8" t="s">
        <v>260</v>
      </c>
      <c r="N64" s="8" t="s">
        <v>256</v>
      </c>
      <c r="O64" s="8" t="s">
        <v>264</v>
      </c>
      <c r="P64" s="8" t="s">
        <v>265</v>
      </c>
      <c r="Q64" s="17" t="s">
        <v>660</v>
      </c>
    </row>
    <row r="66" spans="3:17" x14ac:dyDescent="0.25">
      <c r="C66" s="14" t="str">
        <f>IF(RealPropertyOutputs!$B$2=0," ",RealPropertyOutputs!$B$2)</f>
        <v xml:space="preserve"> </v>
      </c>
      <c r="D66" s="19">
        <f t="shared" ref="D66:D75" si="6">IF(AND($C$27=C52,$D$27="First"),$H$27,IF(AND($C$28=C52,$D$28="First"),$H$28,IF(AND($C$29=C52,$D$29="First"),$H$29,IF(AND($C$30=C52,$D$30="First"),$H$30,IF(AND($C$31=C52,$D$31="First"),$H$31,IF(AND($C$32=C52,$D$32="First"),$H$32,IF(AND($C$33=C52,$D$33="First"),$H$33,IF(AND($C$34=C52,$D$34="First"),$H$34,IF(AND($C$35=C52,$D$35="First"),$H$35,IF(AND($C$36=C52,$D$36="First"),$H$36,IF(AND($C$37=C52,$D$37="First"),$H$37,IF(AND($C$38=C52,$D$38="First"),$H$38,IF(AND($C$39=C52,$D$39="First"),$H$39,IF(AND($C$40=C52,$D$40="First"),$H$40,IF(AND($C$41=C52,$D$41="First"),$H$41,IF(AND($C$42=C52,$D$42="First"),$H$42,IF(AND($C$43=C52,$D$43="First"),$H$43,IF(AND($C$44=C52,$D$44="First"),$H$44,IF(AND($C$45=C52,$D$45="First"),$H$45,IF(AND($C$46=C52,$D$46="First"),$H$46,0))))))))))))))))))))</f>
        <v>0</v>
      </c>
      <c r="E66" s="18">
        <f t="shared" ref="E66:E75" si="7">IF(AND($C$27=C52,$D$27="First"),$F$27,IF(AND($C$28=C52,$D$28="First"),$F$28,IF(AND($C$29=C52,$D$29="First"),$F$29,IF(AND($C$30=C52,$D$30="First"),$F$30,IF(AND($C$31=C52,$D$31="First"),$F$31,IF(AND($C$32=C52,$D$32="First"),$F$32,IF(AND($C$33=C52,$D$33="First"),$F$33,IF(AND($C$34=C52,$D$34="First"),$F$34,IF(AND($C$35=C52,$D$35="First"),$F$35,IF(AND($C$36=C52,$D$36="First"),$F$36,IF(AND($C$37=C52,$D$37="First"),$F$37,IF(AND($C$38=C52,$D$38="First"),$F$38,IF(AND($C$39=C52,$D$39="First"),$F$39,IF(AND($C$40=C52,$D$40="First"),$F$40,IF(AND($C$41=C52,$D$41="First"),$F$41,IF(AND($C$42=C52,$D$42="First"),$F$42,IF(AND($C$43=C52,$D$43="First"),$F$43,IF(AND($C$44=C52,$D$44="First"),$F$44,IF(AND($C$45=C52,$D$45="First"),$F$45,IF(AND($C$46=C52,$D$46="First"),$F$46,0))))))))))))))))))))</f>
        <v>0</v>
      </c>
      <c r="F66" s="18">
        <f>D66*E66</f>
        <v>0</v>
      </c>
      <c r="G66" s="14">
        <f t="shared" ref="G66:G75" si="8">IF(AND($C$27=C52,$D$27="Second"),$H$27,IF(AND($C$28=C52,$D$28="Second"),$H$28,IF(AND($C$29=C52,$D$29="Second"),$H$29,IF(AND($C$30=C52,$D$30="Second"),$H$30,IF(AND($C$31=C52,$D$31="Second"),$H$31,IF(AND($C$32=C52,$D$32="Second"),$H$32,IF(AND($C$33=C52,$D$33="Second"),$H$33,IF(AND($C$34=C52,$D$34="Second"),$H$34,IF(AND($C$35=C52,$D$35="Second"),$H$35,IF(AND($C$36=C52,$D$36="Second"),$H$36,IF(AND($C$37=C52,$D$37="Second"),$H$37,IF(AND($C$38=C52,$D$38="Second"),$H$38,IF(AND($C$39=C52,$D$39="Second"),$H$39,IF(AND($C$40=C52,$D$40="Second"),$H$40,IF(AND($C$41=C52,$D$41="Second"),$H$41,IF(AND($C$42=C52,$D$42="Second"),$H$42,IF(AND($C$43=C52,$D$43="Second"),$H$43,IF(AND($C$44=C52,$D$44="Second"),$H$44,IF(AND($C$45=C52,$D$45="Second"),$H$45,IF(AND($C$46=C52,$D$46="Second"),$H$46,0))))))))))))))))))))</f>
        <v>0</v>
      </c>
      <c r="H66" s="18">
        <f t="shared" ref="H66:H75" si="9">IF(AND($C$27=C52,$D$27="Second"),$F$27,IF(AND($C$28=C52,$D$28="Second"),$F$28,IF(AND($C$29=C52,$D$29="Second"),$F$29,IF(AND($C$30=C52,$D$30="Second"),$F$30,IF(AND($C$31=C52,$D$31="Second"),$F$31,IF(AND($C$32=C52,$D$32="Second"),$F$32,IF(AND($C$33=C52,$D$33="Second"),$F$33,IF(AND($C$34=C52,$D$34="Second"),$F$34,IF(AND($C$35=C52,$D$35="Second"),$F$35,IF(AND($C$36=C52,$D$36="Second"),$F$36,IF(AND($C$37=C52,$D$37="Second"),$F$37,IF(AND($C$38=C52,$D$38="Second"),$F$38,IF(AND($C$39=C52,$D$39="Second"),$F$39,IF(AND($C$40=C52,$D$40="Second"),$F$40,IF(AND($C$41=C52,$D$41="Second"),$F$41,IF(AND($C$42=C52,$D$42="Second"),$F$42,IF(AND($C$43=C52,$D$43="Second"),$F$43,IF(AND($C$44=C52,$D$44="Second"),$F$44,IF(AND($C$45=C52,$D$45="Second"),$F$45,IF(AND($C$46=C52,$D$46="Second"),$F$46,0))))))))))))))))))))</f>
        <v>0</v>
      </c>
      <c r="I66" s="18">
        <f>G66*H66</f>
        <v>0</v>
      </c>
      <c r="J66" s="14">
        <f t="shared" ref="J66:J75" si="10">IF(AND($C$27=C52,$D$27="Third"),$H$27,IF(AND($C$28=C52,$D$28="Third"),$H$28,IF(AND($C$29=C52,$D$29="Third"),$H$29,IF(AND($C$30=C52,$D$30="Third"),$H$30,IF(AND($C$31=C52,$D$31="Third"),$H$31,IF(AND($C$32=C52,$D$32="Third"),$H$32,IF(AND($C$33=C52,$D$33="Third"),$H$33,IF(AND($C$34=C52,$D$34="Third"),$H$34,IF(AND($C$35=C52,$D$35="Third"),$H$35,IF(AND($C$36=C52,$D$36="Third"),$H$36,IF(AND($C$37=C52,$D$37="Third"),$H$37,IF(AND($C$38=C52,$D$38="Third"),$H$38,IF(AND($C$39=C52,$D$39="Third"),$H$39,IF(AND($C$40=C52,$D$40="Third"),$H$40,IF(AND($C$41=C52,$D$41="Third"),$H$41,IF(AND($C$42=C52,$D$42="Third"),$H$42,IF(AND($C$43=C52,$D$43="Third"),$H$43,IF(AND($C$44=C52,$D$44="Third"),$H$44,IF(AND($C$45=C52,$D$45="Third"),$H$45,IF(AND($C$46=C52,$D$46="Third"),$H$46,0))))))))))))))))))))</f>
        <v>0</v>
      </c>
      <c r="K66" s="18">
        <f t="shared" ref="K66:K75" si="11">IF(AND($C$27=C52,$D$27="Third"),$F$27,IF(AND($C$28=C52,$D$28="Third"),$F$28,IF(AND($C$29=C52,$D$29="Third"),$F$29,IF(AND($C$30=C52,$D$30="Third"),$F$30,IF(AND($C$31=C52,$D$31="Third"),$F$31,IF(AND($C$32=C52,$D$32="Third"),$F$32,IF(AND($C$33=C52,$D$33="Third"),$F$33,IF(AND($C$34=C52,$D$34="Third"),$F$34,IF(AND($C$35=C52,$D$35="Third"),$F$35,IF(AND($C$36=C52,$D$36="Third"),$F$36,IF(AND($C$37=C52,$D$37="Third"),$F$37,IF(AND($C$38=C52,$D$38="Third"),$F$38,IF(AND($C$39=C52,$D$39="Third"),$F$39,IF(AND($C$40=C52,$D$40="Third"),$F$40,IF(AND($C$41=C52,$D$41="Third"),$F$41,IF(AND($C$42=C52,$D$42="Third"),$F$42,IF(AND($C$43=C52,$D$43="Third"),$F$43,IF(AND($C$44=C52,$D$44="Third"),$F$44,IF(AND($C$45=C52,$D$45="Third"),$F$45,IF(AND($C$46=C52,$D$46="Third"),$F$46,0))))))))))))))))))))</f>
        <v>0</v>
      </c>
      <c r="L66" s="18">
        <f>J66*K66</f>
        <v>0</v>
      </c>
      <c r="M66" s="18">
        <f t="shared" ref="M66:M75" si="12">IF(AND($C$27=C52,$D$27="Equity Line of Credit"),$H$27,IF(AND($C$28=C52,$D$28="Equity Line of Credit"),$H$28,IF(AND($C$29=C52,$D$29="Equity Line of Credit"),$H$29,IF(AND($C$30=C52,$D$30="Equity Line of Credit"),$H$30,IF(AND($C$31=C52,$D$31="Equity Line of Credit"),$H$31,IF(AND($C$32=C52,$D$32="Equity Line of Credit"),$H$32,IF(AND($C$33=C52,$D$33="Equity Line of Credit"),$H$33,IF(AND($C$34=C52,$D$34="Equity Line of Credit"),$H$34,IF(AND($C$35=C52,$D$35="Equity Line of Credit"),$H$35,IF(AND($C$36=C52,$D$36="Equity Line of Credit"),$H$36,IF(AND($C$37=C52,$D$37="Equity Line of Credit"),$H$37,IF(AND($C$38=C52,$D$38="Equity Line of Credit"),$H$38,IF(AND($C$39=C52,$D$39="Equity Line of Credit"),$H$39,IF(AND($C$40=C52,$D$40="Equity Line of Credit"),$H$40,IF(AND($C$41=C52,$D$41="Equity Line of Credit"),$H$41,IF(AND($C$42=C52,$D$42="Equity Line of Credit"),$H$42,IF(AND($C$43=C52,$D$43="Equity Line of Credit"),$H$43,IF(AND($C$44=C52,$D$44="Equity Line of Credit"),$H$44,IF(AND($C$45=C52,$D$45="Equity Line of Credit"),$H$45,IF(AND($C$46=C52,$D$46="Equity Line of Credit"),$H$46,0))))))))))))))))))))</f>
        <v>0</v>
      </c>
      <c r="N66" s="18">
        <f t="shared" ref="N66:N75" si="13">IF(AND($C$27=C52,$D$27="Equity Line of Credit"),$F$27,IF(AND($C$28=C52,$D$28="Equity Line of Credit"),$F$28,IF(AND($C$29=C52,$D$29="Equity Line of Credit"),$F$29,IF(AND($C$30=C52,$D$30="Equity Line of Credit"),$F$30,IF(AND($C$31=C52,$D$31="Equity Line of Credit"),$F$31,IF(AND($C$32=C52,$D$32="Equity Line of Credit"),$F$32,IF(AND($C$33=C52,$D$33="Equity Line of Credit"),$F$33,IF(AND($C$34=C52,$D$34="Equity Line of Credit"),$F$34,IF(AND($C$35=C52,$D$35="Equity Line of Credit"),$F$35,IF(AND($C$36=C52,$D$36="Equity Line of Credit"),$F$36,IF(AND($C$37=C52,$D$37="Equity Line of Credit"),$F$37,IF(AND($C$38=C52,$D$38="Equity Line of Credit"),$F$38,IF(AND($C$39=C52,$D$39="Equity Line of Credit"),$F$39,IF(AND($C$40=C52,$D$40="Equity Line of Credit"),$F$40,IF(AND($C$41=C52,$D$41="Equity Line of Credit"),$F$41,IF(AND($C$42=C52,$D$42="Equity Line of Credit"),$F$42,IF(AND($C$43=C52,$D$43="Equity Line of Credit"),$F$43,IF(AND($C$44=C52,$D$44="Equity Line of Credit"),$F$44,IF(AND($C$45=C52,$D$45="Equity Line of Credit"),$F$45,IF(AND($C$46=C52,$D$46="Equity Line of Credit"),$F$46,0))))))))))))))))))))</f>
        <v>0</v>
      </c>
      <c r="O66" s="18">
        <f>M66*N66</f>
        <v>0</v>
      </c>
      <c r="P66" s="18">
        <f>F66+I66+L66+O66</f>
        <v>0</v>
      </c>
      <c r="Q66" s="18">
        <f>E66+H66+K66+N66</f>
        <v>0</v>
      </c>
    </row>
    <row r="67" spans="3:17" x14ac:dyDescent="0.25">
      <c r="C67" s="14" t="str">
        <f>IF(RealPropertyOutputs!$B$3=0," ",RealPropertyOutputs!$B$3)</f>
        <v xml:space="preserve"> </v>
      </c>
      <c r="D67" s="19">
        <f t="shared" si="6"/>
        <v>0</v>
      </c>
      <c r="E67" s="18">
        <f t="shared" si="7"/>
        <v>0</v>
      </c>
      <c r="F67" s="18">
        <f t="shared" ref="F67:F75" si="14">D67*E67</f>
        <v>0</v>
      </c>
      <c r="G67" s="14">
        <f t="shared" si="8"/>
        <v>0</v>
      </c>
      <c r="H67" s="18">
        <f t="shared" si="9"/>
        <v>0</v>
      </c>
      <c r="I67" s="18">
        <f t="shared" ref="I67:I75" si="15">G67*H67</f>
        <v>0</v>
      </c>
      <c r="J67" s="14">
        <f t="shared" si="10"/>
        <v>0</v>
      </c>
      <c r="K67" s="18">
        <f t="shared" si="11"/>
        <v>0</v>
      </c>
      <c r="L67" s="18">
        <f t="shared" ref="L67:L75" si="16">J67*K67</f>
        <v>0</v>
      </c>
      <c r="M67" s="18">
        <f t="shared" si="12"/>
        <v>0</v>
      </c>
      <c r="N67" s="18">
        <f t="shared" si="13"/>
        <v>0</v>
      </c>
      <c r="O67" s="18">
        <f t="shared" ref="O67:O75" si="17">M67*N67</f>
        <v>0</v>
      </c>
      <c r="P67" s="18">
        <f t="shared" ref="P67:P75" si="18">F67+I67+L67+O67</f>
        <v>0</v>
      </c>
      <c r="Q67" s="18">
        <f t="shared" ref="Q67:Q75" si="19">E67+H67+K67+N67</f>
        <v>0</v>
      </c>
    </row>
    <row r="68" spans="3:17" x14ac:dyDescent="0.25">
      <c r="C68" s="14" t="str">
        <f>IF(RealPropertyOutputs!$B$4=0," ",RealPropertyOutputs!$B$4)</f>
        <v xml:space="preserve"> </v>
      </c>
      <c r="D68" s="19">
        <f t="shared" si="6"/>
        <v>0</v>
      </c>
      <c r="E68" s="18">
        <f t="shared" si="7"/>
        <v>0</v>
      </c>
      <c r="F68" s="18">
        <f t="shared" si="14"/>
        <v>0</v>
      </c>
      <c r="G68" s="14">
        <f t="shared" si="8"/>
        <v>0</v>
      </c>
      <c r="H68" s="18">
        <f t="shared" si="9"/>
        <v>0</v>
      </c>
      <c r="I68" s="18">
        <f t="shared" si="15"/>
        <v>0</v>
      </c>
      <c r="J68" s="14">
        <f t="shared" si="10"/>
        <v>0</v>
      </c>
      <c r="K68" s="18">
        <f t="shared" si="11"/>
        <v>0</v>
      </c>
      <c r="L68" s="18">
        <f t="shared" si="16"/>
        <v>0</v>
      </c>
      <c r="M68" s="18">
        <f t="shared" si="12"/>
        <v>0</v>
      </c>
      <c r="N68" s="18">
        <f t="shared" si="13"/>
        <v>0</v>
      </c>
      <c r="O68" s="18">
        <f t="shared" si="17"/>
        <v>0</v>
      </c>
      <c r="P68" s="18">
        <f t="shared" si="18"/>
        <v>0</v>
      </c>
      <c r="Q68" s="18">
        <f t="shared" si="19"/>
        <v>0</v>
      </c>
    </row>
    <row r="69" spans="3:17" x14ac:dyDescent="0.25">
      <c r="C69" s="14" t="str">
        <f>IF(RealPropertyOutputs!$B$5=0," ",RealPropertyOutputs!$B$5)</f>
        <v xml:space="preserve"> </v>
      </c>
      <c r="D69" s="19">
        <f t="shared" si="6"/>
        <v>0</v>
      </c>
      <c r="E69" s="18">
        <f t="shared" si="7"/>
        <v>0</v>
      </c>
      <c r="F69" s="18">
        <f t="shared" si="14"/>
        <v>0</v>
      </c>
      <c r="G69" s="14">
        <f t="shared" si="8"/>
        <v>0</v>
      </c>
      <c r="H69" s="18">
        <f t="shared" si="9"/>
        <v>0</v>
      </c>
      <c r="I69" s="18">
        <f t="shared" si="15"/>
        <v>0</v>
      </c>
      <c r="J69" s="14">
        <f t="shared" si="10"/>
        <v>0</v>
      </c>
      <c r="K69" s="18">
        <f t="shared" si="11"/>
        <v>0</v>
      </c>
      <c r="L69" s="18">
        <f t="shared" si="16"/>
        <v>0</v>
      </c>
      <c r="M69" s="18">
        <f t="shared" si="12"/>
        <v>0</v>
      </c>
      <c r="N69" s="18">
        <f t="shared" si="13"/>
        <v>0</v>
      </c>
      <c r="O69" s="18">
        <f t="shared" si="17"/>
        <v>0</v>
      </c>
      <c r="P69" s="18">
        <f t="shared" si="18"/>
        <v>0</v>
      </c>
      <c r="Q69" s="18">
        <f t="shared" si="19"/>
        <v>0</v>
      </c>
    </row>
    <row r="70" spans="3:17" x14ac:dyDescent="0.25">
      <c r="C70" s="14" t="str">
        <f>IF(RealPropertyOutputs!$B$6=0," ",RealPropertyOutputs!$B$6)</f>
        <v xml:space="preserve"> </v>
      </c>
      <c r="D70" s="19">
        <f t="shared" si="6"/>
        <v>0</v>
      </c>
      <c r="E70" s="18">
        <f t="shared" si="7"/>
        <v>0</v>
      </c>
      <c r="F70" s="18">
        <f t="shared" si="14"/>
        <v>0</v>
      </c>
      <c r="G70" s="14">
        <f t="shared" si="8"/>
        <v>0</v>
      </c>
      <c r="H70" s="18">
        <f t="shared" si="9"/>
        <v>0</v>
      </c>
      <c r="I70" s="18">
        <f t="shared" si="15"/>
        <v>0</v>
      </c>
      <c r="J70" s="14">
        <f t="shared" si="10"/>
        <v>0</v>
      </c>
      <c r="K70" s="18">
        <f t="shared" si="11"/>
        <v>0</v>
      </c>
      <c r="L70" s="18">
        <f t="shared" si="16"/>
        <v>0</v>
      </c>
      <c r="M70" s="18">
        <f t="shared" si="12"/>
        <v>0</v>
      </c>
      <c r="N70" s="18">
        <f t="shared" si="13"/>
        <v>0</v>
      </c>
      <c r="O70" s="18">
        <f t="shared" si="17"/>
        <v>0</v>
      </c>
      <c r="P70" s="18">
        <f t="shared" si="18"/>
        <v>0</v>
      </c>
      <c r="Q70" s="18">
        <f t="shared" si="19"/>
        <v>0</v>
      </c>
    </row>
    <row r="71" spans="3:17" x14ac:dyDescent="0.25">
      <c r="C71" s="14" t="str">
        <f>IF(RealPropertyOutputs!$B$7=0," ",RealPropertyOutputs!$B$7)</f>
        <v xml:space="preserve"> </v>
      </c>
      <c r="D71" s="19">
        <f t="shared" si="6"/>
        <v>0</v>
      </c>
      <c r="E71" s="18">
        <f t="shared" si="7"/>
        <v>0</v>
      </c>
      <c r="F71" s="18">
        <f t="shared" si="14"/>
        <v>0</v>
      </c>
      <c r="G71" s="14">
        <f t="shared" si="8"/>
        <v>0</v>
      </c>
      <c r="H71" s="18">
        <f t="shared" si="9"/>
        <v>0</v>
      </c>
      <c r="I71" s="18">
        <f t="shared" si="15"/>
        <v>0</v>
      </c>
      <c r="J71" s="14">
        <f t="shared" si="10"/>
        <v>0</v>
      </c>
      <c r="K71" s="18">
        <f t="shared" si="11"/>
        <v>0</v>
      </c>
      <c r="L71" s="18">
        <f t="shared" si="16"/>
        <v>0</v>
      </c>
      <c r="M71" s="18">
        <f t="shared" si="12"/>
        <v>0</v>
      </c>
      <c r="N71" s="18">
        <f t="shared" si="13"/>
        <v>0</v>
      </c>
      <c r="O71" s="18">
        <f t="shared" si="17"/>
        <v>0</v>
      </c>
      <c r="P71" s="18">
        <f t="shared" si="18"/>
        <v>0</v>
      </c>
      <c r="Q71" s="18">
        <f t="shared" si="19"/>
        <v>0</v>
      </c>
    </row>
    <row r="72" spans="3:17" x14ac:dyDescent="0.25">
      <c r="C72" s="14" t="str">
        <f>IF(RealPropertyOutputs!$B$8=0," ",RealPropertyOutputs!$B$8)</f>
        <v xml:space="preserve"> </v>
      </c>
      <c r="D72" s="19">
        <f t="shared" si="6"/>
        <v>0</v>
      </c>
      <c r="E72" s="18">
        <f t="shared" si="7"/>
        <v>0</v>
      </c>
      <c r="F72" s="18">
        <f t="shared" si="14"/>
        <v>0</v>
      </c>
      <c r="G72" s="14">
        <f t="shared" si="8"/>
        <v>0</v>
      </c>
      <c r="H72" s="18">
        <f t="shared" si="9"/>
        <v>0</v>
      </c>
      <c r="I72" s="18">
        <f t="shared" si="15"/>
        <v>0</v>
      </c>
      <c r="J72" s="14">
        <f t="shared" si="10"/>
        <v>0</v>
      </c>
      <c r="K72" s="18">
        <f t="shared" si="11"/>
        <v>0</v>
      </c>
      <c r="L72" s="18">
        <f t="shared" si="16"/>
        <v>0</v>
      </c>
      <c r="M72" s="18">
        <f t="shared" si="12"/>
        <v>0</v>
      </c>
      <c r="N72" s="18">
        <f t="shared" si="13"/>
        <v>0</v>
      </c>
      <c r="O72" s="18">
        <f t="shared" si="17"/>
        <v>0</v>
      </c>
      <c r="P72" s="18">
        <f t="shared" si="18"/>
        <v>0</v>
      </c>
      <c r="Q72" s="18">
        <f t="shared" si="19"/>
        <v>0</v>
      </c>
    </row>
    <row r="73" spans="3:17" x14ac:dyDescent="0.25">
      <c r="C73" s="14" t="str">
        <f>IF(RealPropertyOutputs!$B$9=0," ",RealPropertyOutputs!$B$9)</f>
        <v xml:space="preserve"> </v>
      </c>
      <c r="D73" s="19">
        <f t="shared" si="6"/>
        <v>0</v>
      </c>
      <c r="E73" s="18">
        <f t="shared" si="7"/>
        <v>0</v>
      </c>
      <c r="F73" s="18">
        <f t="shared" si="14"/>
        <v>0</v>
      </c>
      <c r="G73" s="14">
        <f t="shared" si="8"/>
        <v>0</v>
      </c>
      <c r="H73" s="18">
        <f t="shared" si="9"/>
        <v>0</v>
      </c>
      <c r="I73" s="18">
        <f t="shared" si="15"/>
        <v>0</v>
      </c>
      <c r="J73" s="14">
        <f t="shared" si="10"/>
        <v>0</v>
      </c>
      <c r="K73" s="18">
        <f t="shared" si="11"/>
        <v>0</v>
      </c>
      <c r="L73" s="18">
        <f t="shared" si="16"/>
        <v>0</v>
      </c>
      <c r="M73" s="18">
        <f t="shared" si="12"/>
        <v>0</v>
      </c>
      <c r="N73" s="18">
        <f t="shared" si="13"/>
        <v>0</v>
      </c>
      <c r="O73" s="18">
        <f t="shared" si="17"/>
        <v>0</v>
      </c>
      <c r="P73" s="18">
        <f t="shared" si="18"/>
        <v>0</v>
      </c>
      <c r="Q73" s="18">
        <f t="shared" si="19"/>
        <v>0</v>
      </c>
    </row>
    <row r="74" spans="3:17" x14ac:dyDescent="0.25">
      <c r="C74" s="14" t="str">
        <f>IF(RealPropertyOutputs!$B$10=0," ",RealPropertyOutputs!$B$10)</f>
        <v xml:space="preserve"> </v>
      </c>
      <c r="D74" s="19">
        <f t="shared" si="6"/>
        <v>0</v>
      </c>
      <c r="E74" s="18">
        <f t="shared" si="7"/>
        <v>0</v>
      </c>
      <c r="F74" s="18">
        <f t="shared" si="14"/>
        <v>0</v>
      </c>
      <c r="G74" s="14">
        <f t="shared" si="8"/>
        <v>0</v>
      </c>
      <c r="H74" s="18">
        <f t="shared" si="9"/>
        <v>0</v>
      </c>
      <c r="I74" s="18">
        <f t="shared" si="15"/>
        <v>0</v>
      </c>
      <c r="J74" s="14">
        <f t="shared" si="10"/>
        <v>0</v>
      </c>
      <c r="K74" s="18">
        <f t="shared" si="11"/>
        <v>0</v>
      </c>
      <c r="L74" s="18">
        <f t="shared" si="16"/>
        <v>0</v>
      </c>
      <c r="M74" s="18">
        <f t="shared" si="12"/>
        <v>0</v>
      </c>
      <c r="N74" s="18">
        <f t="shared" si="13"/>
        <v>0</v>
      </c>
      <c r="O74" s="18">
        <f t="shared" si="17"/>
        <v>0</v>
      </c>
      <c r="P74" s="18">
        <f t="shared" si="18"/>
        <v>0</v>
      </c>
      <c r="Q74" s="18">
        <f t="shared" si="19"/>
        <v>0</v>
      </c>
    </row>
    <row r="75" spans="3:17" x14ac:dyDescent="0.25">
      <c r="C75" s="14" t="str">
        <f>IF(RealPropertyOutputs!$B$11=0," ",RealPropertyOutputs!$B$11)</f>
        <v xml:space="preserve"> </v>
      </c>
      <c r="D75" s="19">
        <f t="shared" si="6"/>
        <v>0</v>
      </c>
      <c r="E75" s="18">
        <f t="shared" si="7"/>
        <v>0</v>
      </c>
      <c r="F75" s="18">
        <f t="shared" si="14"/>
        <v>0</v>
      </c>
      <c r="G75" s="14">
        <f t="shared" si="8"/>
        <v>0</v>
      </c>
      <c r="H75" s="18">
        <f t="shared" si="9"/>
        <v>0</v>
      </c>
      <c r="I75" s="18">
        <f t="shared" si="15"/>
        <v>0</v>
      </c>
      <c r="J75" s="14">
        <f t="shared" si="10"/>
        <v>0</v>
      </c>
      <c r="K75" s="18">
        <f t="shared" si="11"/>
        <v>0</v>
      </c>
      <c r="L75" s="18">
        <f t="shared" si="16"/>
        <v>0</v>
      </c>
      <c r="M75" s="18">
        <f t="shared" si="12"/>
        <v>0</v>
      </c>
      <c r="N75" s="18">
        <f t="shared" si="13"/>
        <v>0</v>
      </c>
      <c r="O75" s="18">
        <f t="shared" si="17"/>
        <v>0</v>
      </c>
      <c r="P75" s="18">
        <f t="shared" si="18"/>
        <v>0</v>
      </c>
      <c r="Q75" s="18">
        <f t="shared" si="19"/>
        <v>0</v>
      </c>
    </row>
    <row r="77" spans="3:17" x14ac:dyDescent="0.25">
      <c r="Q77" s="18">
        <f>SUM(Q66:Q75)</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AnalysisMenu">
                <anchor moveWithCells="1">
                  <from>
                    <xdr:col>1</xdr:col>
                    <xdr:colOff>447675</xdr:colOff>
                    <xdr:row>2</xdr:row>
                    <xdr:rowOff>114300</xdr:rowOff>
                  </from>
                  <to>
                    <xdr:col>3</xdr:col>
                    <xdr:colOff>333375</xdr:colOff>
                    <xdr:row>3</xdr:row>
                    <xdr:rowOff>161925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C3:N50"/>
  <sheetViews>
    <sheetView topLeftCell="C1" workbookViewId="0">
      <selection activeCell="E30" sqref="E30"/>
    </sheetView>
  </sheetViews>
  <sheetFormatPr defaultRowHeight="15" x14ac:dyDescent="0.25"/>
  <cols>
    <col min="3" max="3" width="32" customWidth="1"/>
    <col min="4" max="4" width="13.28515625" customWidth="1"/>
    <col min="5" max="5" width="13" customWidth="1"/>
    <col min="6" max="6" width="12.140625" customWidth="1"/>
    <col min="7" max="7" width="14" customWidth="1"/>
    <col min="8" max="8" width="11.5703125" customWidth="1"/>
    <col min="9" max="9" width="17" customWidth="1"/>
    <col min="10" max="10" width="18.42578125" customWidth="1"/>
    <col min="11" max="11" width="13.85546875" customWidth="1"/>
    <col min="13" max="13" width="18.140625" customWidth="1"/>
  </cols>
  <sheetData>
    <row r="3" spans="3:14" x14ac:dyDescent="0.25">
      <c r="H3" s="1" t="s">
        <v>210</v>
      </c>
      <c r="L3" s="1" t="s">
        <v>210</v>
      </c>
    </row>
    <row r="4" spans="3:14" x14ac:dyDescent="0.25">
      <c r="H4">
        <f>BankAccountsOutput!$A$2</f>
        <v>0</v>
      </c>
      <c r="L4">
        <f>HouseholdGoodsOutputs!$A$2</f>
        <v>0</v>
      </c>
    </row>
    <row r="6" spans="3:14" x14ac:dyDescent="0.25">
      <c r="C6" s="1" t="s">
        <v>210</v>
      </c>
    </row>
    <row r="7" spans="3:14" x14ac:dyDescent="0.25">
      <c r="C7">
        <f>PersonalPropertyOutputs!A2</f>
        <v>0</v>
      </c>
    </row>
    <row r="9" spans="3:14" x14ac:dyDescent="0.25">
      <c r="I9" s="17" t="s">
        <v>2</v>
      </c>
      <c r="J9" s="17" t="s">
        <v>1</v>
      </c>
      <c r="M9" s="17" t="s">
        <v>289</v>
      </c>
      <c r="N9" s="17" t="s">
        <v>146</v>
      </c>
    </row>
    <row r="10" spans="3:14" x14ac:dyDescent="0.25">
      <c r="C10" s="1" t="s">
        <v>139</v>
      </c>
      <c r="D10" s="4">
        <f>PersonalPropertyOutputs!$B$2</f>
        <v>0</v>
      </c>
    </row>
    <row r="11" spans="3:14" x14ac:dyDescent="0.25">
      <c r="C11" s="1" t="s">
        <v>138</v>
      </c>
      <c r="D11" s="4">
        <f>PersonalPropertyOutputs!$C$2</f>
        <v>0</v>
      </c>
      <c r="I11" t="str">
        <f>IF(BankAccountsOutput!$B$2=0," ",BankAccountsOutput!$B$2)</f>
        <v xml:space="preserve"> </v>
      </c>
      <c r="J11" s="4">
        <f>BankAccountsOutput!$C$2</f>
        <v>0</v>
      </c>
      <c r="M11" t="str">
        <f>IF(HouseholdGoodsOutputs!$B$2=0," ",HouseholdGoodsOutputs!$B$2)</f>
        <v xml:space="preserve"> </v>
      </c>
      <c r="N11" s="4">
        <f>HouseholdGoodsOutputs!$C$2</f>
        <v>0</v>
      </c>
    </row>
    <row r="12" spans="3:14" x14ac:dyDescent="0.25">
      <c r="C12" s="1" t="s">
        <v>58</v>
      </c>
      <c r="D12" s="4">
        <f>PersonalPropertyOutputs!$D$2</f>
        <v>0</v>
      </c>
      <c r="I12" t="str">
        <f>IF(BankAccountsOutput!$B$3=0," ",BankAccountsOutput!$B$3)</f>
        <v xml:space="preserve"> </v>
      </c>
      <c r="J12" s="4">
        <f>BankAccountsOutput!$C$3</f>
        <v>0</v>
      </c>
      <c r="M12" t="str">
        <f>IF(HouseholdGoodsOutputs!$B$3=0," ",HouseholdGoodsOutputs!$B$3)</f>
        <v xml:space="preserve"> </v>
      </c>
      <c r="N12" s="4">
        <f>HouseholdGoodsOutputs!$C$3</f>
        <v>0</v>
      </c>
    </row>
    <row r="13" spans="3:14" x14ac:dyDescent="0.25">
      <c r="C13" s="1" t="s">
        <v>137</v>
      </c>
      <c r="D13" s="4">
        <f>PersonalPropertyOutputs!$E$2</f>
        <v>0</v>
      </c>
      <c r="I13" t="str">
        <f>IF(BankAccountsOutput!$B$4=0," ",BankAccountsOutput!$B$4)</f>
        <v xml:space="preserve"> </v>
      </c>
      <c r="J13" s="4">
        <f>BankAccountsOutput!$C$4</f>
        <v>0</v>
      </c>
      <c r="M13" t="str">
        <f>IF(HouseholdGoodsOutputs!$B$4=0," ",HouseholdGoodsOutputs!$B$4)</f>
        <v xml:space="preserve"> </v>
      </c>
      <c r="N13" s="4">
        <f>HouseholdGoodsOutputs!$C$4</f>
        <v>0</v>
      </c>
    </row>
    <row r="14" spans="3:14" x14ac:dyDescent="0.25">
      <c r="C14" s="1" t="s">
        <v>136</v>
      </c>
      <c r="D14" s="4">
        <f>PersonalPropertyOutputs!$F$2</f>
        <v>0</v>
      </c>
      <c r="I14" t="str">
        <f>IF(BankAccountsOutput!$B$5=0," ",BankAccountsOutput!$B$5)</f>
        <v xml:space="preserve"> </v>
      </c>
      <c r="J14" s="4">
        <f>BankAccountsOutput!$C$5</f>
        <v>0</v>
      </c>
      <c r="M14" t="str">
        <f>IF(HouseholdGoodsOutputs!$B$5=0," ",HouseholdGoodsOutputs!$B$5)</f>
        <v xml:space="preserve"> </v>
      </c>
      <c r="N14" s="4">
        <f>HouseholdGoodsOutputs!$C$5</f>
        <v>0</v>
      </c>
    </row>
    <row r="15" spans="3:14" x14ac:dyDescent="0.25">
      <c r="C15" s="1" t="s">
        <v>51</v>
      </c>
      <c r="D15" s="4">
        <f>PersonalPropertyOutputs!$G$2</f>
        <v>0</v>
      </c>
      <c r="I15" t="str">
        <f>IF(BankAccountsOutput!$B$6=0," ",BankAccountsOutput!$B$6)</f>
        <v xml:space="preserve"> </v>
      </c>
      <c r="J15" s="4">
        <f>BankAccountsOutput!$C$6</f>
        <v>0</v>
      </c>
      <c r="M15" t="str">
        <f>IF(HouseholdGoodsOutputs!$B$6=0," ",HouseholdGoodsOutputs!$B$6)</f>
        <v xml:space="preserve"> </v>
      </c>
      <c r="N15" s="4">
        <f>HouseholdGoodsOutputs!$C$6</f>
        <v>0</v>
      </c>
    </row>
    <row r="16" spans="3:14" x14ac:dyDescent="0.25">
      <c r="C16" s="1" t="s">
        <v>135</v>
      </c>
      <c r="D16" s="4">
        <f>PersonalPropertyOutputs!$H$2</f>
        <v>0</v>
      </c>
      <c r="I16" t="str">
        <f>IF(BankAccountsOutput!$B$7=0," ",BankAccountsOutput!$B$7)</f>
        <v xml:space="preserve"> </v>
      </c>
      <c r="J16" s="4">
        <f>BankAccountsOutput!$C$7</f>
        <v>0</v>
      </c>
      <c r="M16" t="str">
        <f>IF(HouseholdGoodsOutputs!$B$7=0," ",HouseholdGoodsOutputs!$B$7)</f>
        <v xml:space="preserve"> </v>
      </c>
      <c r="N16" s="4">
        <f>HouseholdGoodsOutputs!$C$7</f>
        <v>0</v>
      </c>
    </row>
    <row r="17" spans="3:14" x14ac:dyDescent="0.25">
      <c r="C17" s="1" t="s">
        <v>134</v>
      </c>
      <c r="D17" s="4">
        <f>PersonalPropertyOutputs!$I$2</f>
        <v>0</v>
      </c>
      <c r="I17" t="str">
        <f>IF(BankAccountsOutput!$B$8=0," ",BankAccountsOutput!$B$8)</f>
        <v xml:space="preserve"> </v>
      </c>
      <c r="J17" s="4">
        <f>BankAccountsOutput!$C$8</f>
        <v>0</v>
      </c>
      <c r="M17" t="str">
        <f>IF(HouseholdGoodsOutputs!$B$8=0," ",HouseholdGoodsOutputs!$B$8)</f>
        <v xml:space="preserve"> </v>
      </c>
      <c r="N17" s="4">
        <f>HouseholdGoodsOutputs!$C$8</f>
        <v>0</v>
      </c>
    </row>
    <row r="18" spans="3:14" x14ac:dyDescent="0.25">
      <c r="C18" s="1" t="s">
        <v>133</v>
      </c>
      <c r="D18" s="4">
        <f>PersonalPropertyOutputs!$J$2</f>
        <v>0</v>
      </c>
      <c r="I18" t="str">
        <f>IF(BankAccountsOutput!$B$9=0," ",BankAccountsOutput!$B$9)</f>
        <v xml:space="preserve"> </v>
      </c>
      <c r="J18" s="4">
        <f>BankAccountsOutput!$C$9</f>
        <v>0</v>
      </c>
      <c r="M18" t="str">
        <f>IF(HouseholdGoodsOutputs!$B$9=0," ",HouseholdGoodsOutputs!$B$9)</f>
        <v xml:space="preserve"> </v>
      </c>
      <c r="N18" s="4">
        <f>HouseholdGoodsOutputs!$C$9</f>
        <v>0</v>
      </c>
    </row>
    <row r="19" spans="3:14" x14ac:dyDescent="0.25">
      <c r="C19" s="1" t="s">
        <v>132</v>
      </c>
      <c r="D19" s="4">
        <f>PersonalPropertyOutputs!$K$2</f>
        <v>0</v>
      </c>
      <c r="I19" t="str">
        <f>IF(BankAccountsOutput!$B$10=0," ",BankAccountsOutput!$B$10)</f>
        <v xml:space="preserve"> </v>
      </c>
      <c r="J19" s="4">
        <f>BankAccountsOutput!$C$10</f>
        <v>0</v>
      </c>
      <c r="M19" t="str">
        <f>IF(HouseholdGoodsOutputs!$B$10=0," ",HouseholdGoodsOutputs!$B$10)</f>
        <v xml:space="preserve"> </v>
      </c>
      <c r="N19" s="4">
        <f>HouseholdGoodsOutputs!$C$10</f>
        <v>0</v>
      </c>
    </row>
    <row r="20" spans="3:14" x14ac:dyDescent="0.25">
      <c r="C20" s="1" t="s">
        <v>131</v>
      </c>
      <c r="D20" s="4">
        <f>PersonalPropertyOutputs!$L$2</f>
        <v>0</v>
      </c>
      <c r="I20" t="str">
        <f>IF(BankAccountsOutput!$B$11=0," ",BankAccountsOutput!$B$11)</f>
        <v xml:space="preserve"> </v>
      </c>
      <c r="J20" s="4">
        <f>BankAccountsOutput!$C$11</f>
        <v>0</v>
      </c>
      <c r="M20" t="str">
        <f>IF(HouseholdGoodsOutputs!$B$11=0," ",HouseholdGoodsOutputs!$B$11)</f>
        <v xml:space="preserve"> </v>
      </c>
      <c r="N20" s="4">
        <f>HouseholdGoodsOutputs!$C$11</f>
        <v>0</v>
      </c>
    </row>
    <row r="21" spans="3:14" x14ac:dyDescent="0.25">
      <c r="C21" s="1" t="s">
        <v>130</v>
      </c>
      <c r="D21" s="4">
        <f>PersonalPropertyOutputs!$M$2</f>
        <v>0</v>
      </c>
    </row>
    <row r="22" spans="3:14" x14ac:dyDescent="0.25">
      <c r="C22" s="1" t="s">
        <v>129</v>
      </c>
      <c r="D22" s="4">
        <f>PersonalPropertyOutputs!$N$2</f>
        <v>0</v>
      </c>
      <c r="J22" s="4">
        <f>SUM($J$11:$J$20)</f>
        <v>0</v>
      </c>
      <c r="N22" s="4">
        <f>SUM($N$11:$N$20)</f>
        <v>0</v>
      </c>
    </row>
    <row r="23" spans="3:14" x14ac:dyDescent="0.25">
      <c r="C23" s="1" t="s">
        <v>128</v>
      </c>
      <c r="D23" s="4">
        <f>PersonalPropertyOutputs!$O$2</f>
        <v>0</v>
      </c>
      <c r="M23" s="17" t="s">
        <v>293</v>
      </c>
    </row>
    <row r="24" spans="3:14" x14ac:dyDescent="0.25">
      <c r="C24" s="1" t="s">
        <v>127</v>
      </c>
      <c r="D24" s="4">
        <f>PersonalPropertyOutputs!$P$2</f>
        <v>0</v>
      </c>
      <c r="G24" s="17" t="s">
        <v>194</v>
      </c>
      <c r="H24" s="17" t="s">
        <v>195</v>
      </c>
      <c r="J24" s="17" t="s">
        <v>193</v>
      </c>
      <c r="K24" s="17" t="s">
        <v>195</v>
      </c>
      <c r="M24" s="17" t="s">
        <v>284</v>
      </c>
      <c r="N24" s="17" t="s">
        <v>195</v>
      </c>
    </row>
    <row r="25" spans="3:14" x14ac:dyDescent="0.25">
      <c r="C25" s="1" t="s">
        <v>126</v>
      </c>
      <c r="D25" s="4">
        <f>PersonalPropertyOutputs!$Q$2</f>
        <v>0</v>
      </c>
    </row>
    <row r="26" spans="3:14" x14ac:dyDescent="0.25">
      <c r="C26" s="1" t="s">
        <v>125</v>
      </c>
      <c r="D26" s="4">
        <f>PersonalPropertyOutputs!$R$2</f>
        <v>0</v>
      </c>
      <c r="G26" s="14" t="str">
        <f>IF(RealPropertyOutputs!$B$2=0," ",RealPropertyOutputs!$B$2)</f>
        <v xml:space="preserve"> </v>
      </c>
      <c r="H26" s="18">
        <f>RealProperty!K52</f>
        <v>0</v>
      </c>
      <c r="J26" s="14" t="str">
        <f>IF(VehiclesOutput!$B$2=0," ", VehiclesOutput!$B$2)</f>
        <v xml:space="preserve"> </v>
      </c>
      <c r="K26" s="18">
        <f>Vehicles!J42</f>
        <v>0</v>
      </c>
      <c r="M26" s="14" t="str">
        <f>IF(SecuredCreditorOutputs!$B$2&gt;0,SecuredCreditorOutputs!$B$2," ")</f>
        <v xml:space="preserve"> </v>
      </c>
      <c r="N26" s="18">
        <f>NonVehicleSecured!Q13</f>
        <v>0</v>
      </c>
    </row>
    <row r="27" spans="3:14" x14ac:dyDescent="0.25">
      <c r="C27" s="1" t="s">
        <v>124</v>
      </c>
      <c r="D27" s="4">
        <f>PersonalPropertyOutputs!$S$2</f>
        <v>0</v>
      </c>
      <c r="G27" s="14" t="str">
        <f>IF(RealPropertyOutputs!$B$3=0," ",RealPropertyOutputs!$B$3)</f>
        <v xml:space="preserve"> </v>
      </c>
      <c r="H27" s="18">
        <f>RealProperty!K53</f>
        <v>0</v>
      </c>
      <c r="J27" s="14" t="str">
        <f>IF(VehiclesOutput!$B$3=0," ", VehiclesOutput!$B$3)</f>
        <v xml:space="preserve"> </v>
      </c>
      <c r="K27" s="18">
        <f>Vehicles!J43</f>
        <v>0</v>
      </c>
      <c r="M27" s="14" t="str">
        <f>IF(SecuredCreditorOutputs!$B$3&gt;0,SecuredCreditorOutputs!$B$3," ")</f>
        <v xml:space="preserve"> </v>
      </c>
      <c r="N27" s="18">
        <f>NonVehicleSecured!Q14</f>
        <v>0</v>
      </c>
    </row>
    <row r="28" spans="3:14" x14ac:dyDescent="0.25">
      <c r="C28" s="1" t="s">
        <v>123</v>
      </c>
      <c r="D28" s="4">
        <f>PersonalPropertyOutputs!$T$2</f>
        <v>0</v>
      </c>
      <c r="G28" s="14" t="str">
        <f>IF(RealPropertyOutputs!$B$4=0," ",RealPropertyOutputs!$B$4)</f>
        <v xml:space="preserve"> </v>
      </c>
      <c r="H28" s="18">
        <f>RealProperty!K54</f>
        <v>0</v>
      </c>
      <c r="J28" s="14" t="str">
        <f>IF(VehiclesOutput!$B$4=0," ", VehiclesOutput!$B$4)</f>
        <v xml:space="preserve"> </v>
      </c>
      <c r="K28" s="18">
        <f>Vehicles!J44</f>
        <v>0</v>
      </c>
      <c r="M28" s="14" t="str">
        <f>IF(SecuredCreditorOutputs!$B$4&gt;0,SecuredCreditorOutputs!$B$4," ")</f>
        <v xml:space="preserve"> </v>
      </c>
      <c r="N28" s="18">
        <f>NonVehicleSecured!Q15</f>
        <v>0</v>
      </c>
    </row>
    <row r="29" spans="3:14" x14ac:dyDescent="0.25">
      <c r="C29" s="1" t="s">
        <v>122</v>
      </c>
      <c r="D29" s="4">
        <f>PersonalPropertyOutputs!$U$2</f>
        <v>0</v>
      </c>
      <c r="G29" s="14" t="str">
        <f>IF(RealPropertyOutputs!$B$5=0," ",RealPropertyOutputs!$B$5)</f>
        <v xml:space="preserve"> </v>
      </c>
      <c r="H29" s="18">
        <f>RealProperty!K55</f>
        <v>0</v>
      </c>
      <c r="J29" s="14" t="str">
        <f>IF(VehiclesOutput!$B$5=0," ", VehiclesOutput!$B$5)</f>
        <v xml:space="preserve"> </v>
      </c>
      <c r="K29" s="18">
        <f>Vehicles!J45</f>
        <v>0</v>
      </c>
      <c r="M29" s="14" t="str">
        <f>IF(SecuredCreditorOutputs!$B$5&gt;0,SecuredCreditorOutputs!$B$5," ")</f>
        <v xml:space="preserve"> </v>
      </c>
      <c r="N29" s="18">
        <f>NonVehicleSecured!Q16</f>
        <v>0</v>
      </c>
    </row>
    <row r="30" spans="3:14" x14ac:dyDescent="0.25">
      <c r="C30" s="1" t="s">
        <v>121</v>
      </c>
      <c r="D30" s="4">
        <f>PersonalPropertyOutputs!$V$2</f>
        <v>0</v>
      </c>
      <c r="G30" s="14" t="str">
        <f>IF(RealPropertyOutputs!$B$6=0," ",RealPropertyOutputs!$B$6)</f>
        <v xml:space="preserve"> </v>
      </c>
      <c r="H30" s="18">
        <f>RealProperty!K56</f>
        <v>0</v>
      </c>
      <c r="J30" s="14" t="str">
        <f>IF(VehiclesOutput!$B$6=0," ", VehiclesOutput!$B$6)</f>
        <v xml:space="preserve"> </v>
      </c>
      <c r="K30" s="18">
        <f>Vehicles!J46</f>
        <v>0</v>
      </c>
      <c r="M30" s="14" t="str">
        <f>IF(SecuredCreditorOutputs!$B$6&gt;0,SecuredCreditorOutputs!$B$6," ")</f>
        <v xml:space="preserve"> </v>
      </c>
      <c r="N30" s="18">
        <f>NonVehicleSecured!Q17</f>
        <v>0</v>
      </c>
    </row>
    <row r="31" spans="3:14" x14ac:dyDescent="0.25">
      <c r="C31" s="1" t="s">
        <v>120</v>
      </c>
      <c r="D31" s="4">
        <f>PersonalPropertyOutputs!$W$2</f>
        <v>0</v>
      </c>
      <c r="G31" s="14" t="str">
        <f>IF(RealPropertyOutputs!$B$7=0," ",RealPropertyOutputs!$B$7)</f>
        <v xml:space="preserve"> </v>
      </c>
      <c r="H31" s="18">
        <f>RealProperty!K57</f>
        <v>0</v>
      </c>
      <c r="J31" s="14" t="str">
        <f>IF(VehiclesOutput!$B$7=0," ", VehiclesOutput!$B$7)</f>
        <v xml:space="preserve"> </v>
      </c>
      <c r="K31" s="18">
        <f>Vehicles!J47</f>
        <v>0</v>
      </c>
      <c r="M31" s="14" t="str">
        <f>IF(SecuredCreditorOutputs!$B$7&gt;0,SecuredCreditorOutputs!$B$7," ")</f>
        <v xml:space="preserve"> </v>
      </c>
      <c r="N31" s="18">
        <f>NonVehicleSecured!Q18</f>
        <v>0</v>
      </c>
    </row>
    <row r="32" spans="3:14" x14ac:dyDescent="0.25">
      <c r="C32" s="1" t="s">
        <v>119</v>
      </c>
      <c r="D32" s="4">
        <f>PersonalPropertyOutputs!$X$2</f>
        <v>0</v>
      </c>
      <c r="G32" s="14" t="str">
        <f>IF(RealPropertyOutputs!$B$8=0," ",RealPropertyOutputs!$B$8)</f>
        <v xml:space="preserve"> </v>
      </c>
      <c r="H32" s="18">
        <f>RealProperty!K58</f>
        <v>0</v>
      </c>
      <c r="J32" s="14" t="str">
        <f>IF(VehiclesOutput!$B$8=0," ", VehiclesOutput!$B$8)</f>
        <v xml:space="preserve"> </v>
      </c>
      <c r="K32" s="18">
        <f>Vehicles!J48</f>
        <v>0</v>
      </c>
      <c r="M32" s="14" t="str">
        <f>IF(SecuredCreditorOutputs!$B$8&gt;0,SecuredCreditorOutputs!$B$8," ")</f>
        <v xml:space="preserve"> </v>
      </c>
      <c r="N32" s="18">
        <f>NonVehicleSecured!Q19</f>
        <v>0</v>
      </c>
    </row>
    <row r="33" spans="3:14" x14ac:dyDescent="0.25">
      <c r="C33" s="1" t="s">
        <v>118</v>
      </c>
      <c r="D33" s="4">
        <f>PersonalPropertyOutputs!$Y$2</f>
        <v>0</v>
      </c>
      <c r="G33" s="14" t="str">
        <f>IF(RealPropertyOutputs!$B$9=0," ",RealPropertyOutputs!$B$9)</f>
        <v xml:space="preserve"> </v>
      </c>
      <c r="H33" s="18">
        <f>RealProperty!K59</f>
        <v>0</v>
      </c>
      <c r="J33" s="14" t="str">
        <f>IF(VehiclesOutput!$B$9=0," ", VehiclesOutput!$B$9)</f>
        <v xml:space="preserve"> </v>
      </c>
      <c r="K33" s="18">
        <f>Vehicles!J49</f>
        <v>0</v>
      </c>
      <c r="M33" s="14" t="str">
        <f>IF(SecuredCreditorOutputs!$B$9&gt;0,SecuredCreditorOutputs!$B$9," ")</f>
        <v xml:space="preserve"> </v>
      </c>
      <c r="N33" s="18">
        <f>NonVehicleSecured!Q20</f>
        <v>0</v>
      </c>
    </row>
    <row r="34" spans="3:14" x14ac:dyDescent="0.25">
      <c r="C34" s="1" t="s">
        <v>117</v>
      </c>
      <c r="D34" s="4">
        <f>PersonalPropertyOutputs!$Z$2</f>
        <v>0</v>
      </c>
      <c r="G34" s="14" t="str">
        <f>IF(RealPropertyOutputs!$B$10=0," ",RealPropertyOutputs!$B$10)</f>
        <v xml:space="preserve"> </v>
      </c>
      <c r="H34" s="18">
        <f>RealProperty!K60</f>
        <v>0</v>
      </c>
      <c r="J34" s="14" t="str">
        <f>IF(VehiclesOutput!$B$10=0," ", VehiclesOutput!$B$10)</f>
        <v xml:space="preserve"> </v>
      </c>
      <c r="K34" s="18">
        <f>Vehicles!J50</f>
        <v>0</v>
      </c>
      <c r="M34" s="14" t="str">
        <f>IF(SecuredCreditorOutputs!$B$10&gt;0,SecuredCreditorOutputs!$B$10," ")</f>
        <v xml:space="preserve"> </v>
      </c>
      <c r="N34" s="18">
        <f>NonVehicleSecured!Q21</f>
        <v>0</v>
      </c>
    </row>
    <row r="35" spans="3:14" x14ac:dyDescent="0.25">
      <c r="C35" s="1" t="s">
        <v>116</v>
      </c>
      <c r="D35" s="4">
        <f>PersonalPropertyOutputs!$AA$2</f>
        <v>0</v>
      </c>
      <c r="G35" s="14" t="str">
        <f>IF(RealPropertyOutputs!$B$11=0," ",RealPropertyOutputs!$B$11)</f>
        <v xml:space="preserve"> </v>
      </c>
      <c r="H35" s="18">
        <f>RealProperty!K61</f>
        <v>0</v>
      </c>
      <c r="J35" s="14" t="str">
        <f>IF(VehiclesOutput!$B$11=0," ", VehiclesOutput!$B$11)</f>
        <v xml:space="preserve"> </v>
      </c>
      <c r="K35" s="18">
        <f>Vehicles!J51</f>
        <v>0</v>
      </c>
      <c r="M35" s="14" t="str">
        <f>IF(SecuredCreditorOutputs!$B$11&gt;0,SecuredCreditorOutputs!$B$11," ")</f>
        <v xml:space="preserve"> </v>
      </c>
      <c r="N35" s="18">
        <f>NonVehicleSecured!Q22</f>
        <v>0</v>
      </c>
    </row>
    <row r="36" spans="3:14" x14ac:dyDescent="0.25">
      <c r="C36" s="1" t="s">
        <v>115</v>
      </c>
      <c r="D36" s="4">
        <f>PersonalPropertyOutputs!$AB$2</f>
        <v>0</v>
      </c>
    </row>
    <row r="37" spans="3:14" x14ac:dyDescent="0.25">
      <c r="C37" s="1" t="s">
        <v>114</v>
      </c>
      <c r="D37" s="4">
        <f>PersonalPropertyOutputs!$AC$2</f>
        <v>0</v>
      </c>
      <c r="H37" s="18">
        <f>SUM($H$26:$H$35)</f>
        <v>0</v>
      </c>
      <c r="K37" s="18">
        <f>SUM($K$26:$K$35)</f>
        <v>0</v>
      </c>
      <c r="N37" s="18">
        <f>SUM($N$26:$N$35)</f>
        <v>0</v>
      </c>
    </row>
    <row r="38" spans="3:14" x14ac:dyDescent="0.25">
      <c r="C38" s="1" t="s">
        <v>113</v>
      </c>
      <c r="D38" s="4">
        <f>PersonalPropertyOutputs!$AD$2</f>
        <v>0</v>
      </c>
    </row>
    <row r="39" spans="3:14" x14ac:dyDescent="0.25">
      <c r="C39" s="1" t="s">
        <v>112</v>
      </c>
      <c r="D39" s="4">
        <f>PersonalPropertyOutputs!$AE$2</f>
        <v>0</v>
      </c>
    </row>
    <row r="42" spans="3:14" x14ac:dyDescent="0.25">
      <c r="E42" s="189" t="s">
        <v>864</v>
      </c>
    </row>
    <row r="43" spans="3:14" x14ac:dyDescent="0.25">
      <c r="C43" s="1" t="s">
        <v>286</v>
      </c>
      <c r="D43" s="18">
        <f>SUM(D10:D39)</f>
        <v>0</v>
      </c>
      <c r="E43" s="11"/>
      <c r="F43" s="18">
        <f>D43-E43</f>
        <v>0</v>
      </c>
    </row>
    <row r="44" spans="3:14" x14ac:dyDescent="0.25">
      <c r="C44" s="1" t="s">
        <v>287</v>
      </c>
      <c r="D44" s="18">
        <f>SUM($N$11:$N$20)</f>
        <v>0</v>
      </c>
      <c r="E44" s="11"/>
      <c r="F44" s="18">
        <f t="shared" ref="F44:F48" si="0">D44-E44</f>
        <v>0</v>
      </c>
    </row>
    <row r="45" spans="3:14" x14ac:dyDescent="0.25">
      <c r="C45" s="1" t="s">
        <v>288</v>
      </c>
      <c r="D45" s="18">
        <f>SUM($J$11:$J$20)</f>
        <v>0</v>
      </c>
      <c r="E45" s="11"/>
      <c r="F45" s="18">
        <f t="shared" si="0"/>
        <v>0</v>
      </c>
    </row>
    <row r="46" spans="3:14" x14ac:dyDescent="0.25">
      <c r="C46" s="1" t="s">
        <v>290</v>
      </c>
      <c r="D46" s="18">
        <f>SUM($H$26:$H$35)</f>
        <v>0</v>
      </c>
      <c r="E46" s="11"/>
      <c r="F46" s="18">
        <f t="shared" si="0"/>
        <v>0</v>
      </c>
    </row>
    <row r="47" spans="3:14" x14ac:dyDescent="0.25">
      <c r="C47" s="1" t="s">
        <v>291</v>
      </c>
      <c r="D47" s="18">
        <f>SUM($K$26:$K$35)</f>
        <v>0</v>
      </c>
      <c r="E47" s="11"/>
      <c r="F47" s="18">
        <f t="shared" si="0"/>
        <v>0</v>
      </c>
    </row>
    <row r="48" spans="3:14" x14ac:dyDescent="0.25">
      <c r="C48" s="1" t="s">
        <v>292</v>
      </c>
      <c r="D48" s="18">
        <f>SUM($N$26:$N$35)</f>
        <v>0</v>
      </c>
      <c r="E48" s="11"/>
      <c r="F48" s="18">
        <f t="shared" si="0"/>
        <v>0</v>
      </c>
    </row>
    <row r="50" spans="5:6" x14ac:dyDescent="0.25">
      <c r="E50" s="18">
        <f>SUM(E43:E48)</f>
        <v>0</v>
      </c>
      <c r="F50" s="18">
        <f>SUM(F43:F48)</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nalysisMenu">
                <anchor moveWithCells="1">
                  <from>
                    <xdr:col>1</xdr:col>
                    <xdr:colOff>447675</xdr:colOff>
                    <xdr:row>2</xdr:row>
                    <xdr:rowOff>114300</xdr:rowOff>
                  </from>
                  <to>
                    <xdr:col>2</xdr:col>
                    <xdr:colOff>1600200</xdr:colOff>
                    <xdr:row>3</xdr:row>
                    <xdr:rowOff>161925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D6:Q22"/>
  <sheetViews>
    <sheetView topLeftCell="E1" workbookViewId="0">
      <selection activeCell="P14" sqref="P14:P22"/>
    </sheetView>
  </sheetViews>
  <sheetFormatPr defaultRowHeight="15" x14ac:dyDescent="0.25"/>
  <cols>
    <col min="5" max="5" width="11.7109375" customWidth="1"/>
    <col min="6" max="6" width="17" customWidth="1"/>
    <col min="7" max="7" width="15.140625" customWidth="1"/>
    <col min="9" max="9" width="14.28515625" customWidth="1"/>
    <col min="10" max="10" width="16.140625" customWidth="1"/>
    <col min="11" max="11" width="17.28515625" customWidth="1"/>
    <col min="12" max="12" width="16.7109375" customWidth="1"/>
    <col min="13" max="13" width="15.85546875" customWidth="1"/>
    <col min="14" max="14" width="12.140625" customWidth="1"/>
    <col min="15" max="15" width="13.5703125" customWidth="1"/>
    <col min="16" max="16" width="12.7109375" customWidth="1"/>
  </cols>
  <sheetData>
    <row r="6" spans="4:17" x14ac:dyDescent="0.25">
      <c r="D6" s="1" t="s">
        <v>210</v>
      </c>
    </row>
    <row r="7" spans="4:17" x14ac:dyDescent="0.25">
      <c r="D7">
        <f>SecuredCreditorOutputs!$A$2</f>
        <v>0</v>
      </c>
    </row>
    <row r="10" spans="4:17" x14ac:dyDescent="0.25">
      <c r="N10" s="17" t="s">
        <v>282</v>
      </c>
      <c r="O10" s="17" t="s">
        <v>282</v>
      </c>
      <c r="P10" s="17" t="s">
        <v>192</v>
      </c>
    </row>
    <row r="11" spans="4:17" x14ac:dyDescent="0.25">
      <c r="E11" s="7" t="s">
        <v>225</v>
      </c>
      <c r="F11" s="7" t="s">
        <v>224</v>
      </c>
      <c r="G11" s="7" t="s">
        <v>79</v>
      </c>
      <c r="H11" s="7" t="s">
        <v>223</v>
      </c>
      <c r="I11" s="7" t="s">
        <v>222</v>
      </c>
      <c r="J11" s="7" t="s">
        <v>221</v>
      </c>
      <c r="K11" s="7" t="s">
        <v>220</v>
      </c>
      <c r="L11" s="7" t="s">
        <v>219</v>
      </c>
      <c r="M11" s="7" t="s">
        <v>175</v>
      </c>
      <c r="N11" s="17" t="s">
        <v>283</v>
      </c>
      <c r="O11" s="17" t="s">
        <v>146</v>
      </c>
      <c r="P11" s="17" t="s">
        <v>285</v>
      </c>
      <c r="Q11" s="17" t="s">
        <v>195</v>
      </c>
    </row>
    <row r="13" spans="4:17" x14ac:dyDescent="0.25">
      <c r="E13">
        <f>SecuredCreditorOutputs!$B$2</f>
        <v>0</v>
      </c>
      <c r="F13">
        <f>SecuredCreditorOutputs!$C$2</f>
        <v>0</v>
      </c>
      <c r="G13">
        <f>SecuredCreditorOutputs!$D$2</f>
        <v>0</v>
      </c>
      <c r="H13">
        <f>SecuredCreditorOutputs!$E$2</f>
        <v>0</v>
      </c>
      <c r="I13">
        <f>SecuredCreditorOutputs!$F$2</f>
        <v>0</v>
      </c>
      <c r="J13">
        <f>SecuredCreditorOutputs!$G$2</f>
        <v>0</v>
      </c>
      <c r="K13">
        <f>SecuredCreditorOutputs!$H$2</f>
        <v>0</v>
      </c>
      <c r="L13">
        <f>SecuredCreditorOutputs!$I$2</f>
        <v>0</v>
      </c>
      <c r="M13">
        <f>SecuredCreditorOutputs!$J$2</f>
        <v>0</v>
      </c>
      <c r="N13" s="14" t="str">
        <f>IF(OR(J13="About 1 Year",J13="Over 1 Year",M13="Collateral"),"Yes","No")</f>
        <v>No</v>
      </c>
      <c r="O13" s="18">
        <f>IF(N13="Yes",K13,F13)</f>
        <v>0</v>
      </c>
      <c r="P13" s="18">
        <f>IF(F13-O13&gt;0,F13-O13,0)</f>
        <v>0</v>
      </c>
      <c r="Q13" s="18">
        <f>IF($K$13-$F$13&gt;0,$K$13-$F$13,0)</f>
        <v>0</v>
      </c>
    </row>
    <row r="14" spans="4:17" x14ac:dyDescent="0.25">
      <c r="E14">
        <f>SecuredCreditorOutputs!$B$3</f>
        <v>0</v>
      </c>
      <c r="F14">
        <f>SecuredCreditorOutputs!$C$3</f>
        <v>0</v>
      </c>
      <c r="G14">
        <f>SecuredCreditorOutputs!$D$3</f>
        <v>0</v>
      </c>
      <c r="H14">
        <f>SecuredCreditorOutputs!$E$3</f>
        <v>0</v>
      </c>
      <c r="I14">
        <f>SecuredCreditorOutputs!$F$3</f>
        <v>0</v>
      </c>
      <c r="J14">
        <f>SecuredCreditorOutputs!$G$3</f>
        <v>0</v>
      </c>
      <c r="K14">
        <f>SecuredCreditorOutputs!$H$3</f>
        <v>0</v>
      </c>
      <c r="L14">
        <f>SecuredCreditorOutputs!$I$3</f>
        <v>0</v>
      </c>
      <c r="M14">
        <f>SecuredCreditorOutputs!$J$3</f>
        <v>0</v>
      </c>
      <c r="N14" s="14" t="str">
        <f>IF(OR(J14="About 1 Year",J14="Over 1 Year",M14="Collateral"),"Yes","No")</f>
        <v>No</v>
      </c>
      <c r="O14" s="18">
        <f>IF(N14="Yes",K14,F14)</f>
        <v>0</v>
      </c>
      <c r="P14" s="18">
        <f t="shared" ref="P14:P22" si="0">IF(F14-O14&gt;0,F14-O14,0)</f>
        <v>0</v>
      </c>
      <c r="Q14" s="18">
        <f>IF($K$14-$F$14&gt;0,$K$14-$F$14,0)</f>
        <v>0</v>
      </c>
    </row>
    <row r="15" spans="4:17" x14ac:dyDescent="0.25">
      <c r="E15">
        <f>SecuredCreditorOutputs!$B$4</f>
        <v>0</v>
      </c>
      <c r="F15">
        <f>SecuredCreditorOutputs!$C$4</f>
        <v>0</v>
      </c>
      <c r="G15">
        <f>SecuredCreditorOutputs!$D$4</f>
        <v>0</v>
      </c>
      <c r="H15">
        <f>SecuredCreditorOutputs!$E$4</f>
        <v>0</v>
      </c>
      <c r="I15">
        <f>SecuredCreditorOutputs!$F$4</f>
        <v>0</v>
      </c>
      <c r="J15">
        <f>SecuredCreditorOutputs!$G$4</f>
        <v>0</v>
      </c>
      <c r="K15">
        <f>SecuredCreditorOutputs!$H$4</f>
        <v>0</v>
      </c>
      <c r="L15">
        <f>SecuredCreditorOutputs!$I$4</f>
        <v>0</v>
      </c>
      <c r="M15">
        <f>SecuredCreditorOutputs!$J$4</f>
        <v>0</v>
      </c>
      <c r="N15" s="14" t="str">
        <f t="shared" ref="N15:N22" si="1">IF(OR(J15="About 1 Year",J15="Over 1 Year",M15="Collateral"),"Yes","No")</f>
        <v>No</v>
      </c>
      <c r="O15" s="18">
        <f t="shared" ref="O15:O22" si="2">IF(N15="Yes",K15,F15)</f>
        <v>0</v>
      </c>
      <c r="P15" s="18">
        <f t="shared" si="0"/>
        <v>0</v>
      </c>
      <c r="Q15" s="18">
        <f>IF($K$15-$F$15&gt;0,$K$15-$F$15,0)</f>
        <v>0</v>
      </c>
    </row>
    <row r="16" spans="4:17" x14ac:dyDescent="0.25">
      <c r="E16">
        <f>SecuredCreditorOutputs!$B$5</f>
        <v>0</v>
      </c>
      <c r="F16">
        <f>SecuredCreditorOutputs!$C$5</f>
        <v>0</v>
      </c>
      <c r="G16">
        <f>SecuredCreditorOutputs!$D$5</f>
        <v>0</v>
      </c>
      <c r="H16">
        <f>SecuredCreditorOutputs!$E$5</f>
        <v>0</v>
      </c>
      <c r="I16">
        <f>SecuredCreditorOutputs!$F$5</f>
        <v>0</v>
      </c>
      <c r="J16">
        <f>SecuredCreditorOutputs!$G$5</f>
        <v>0</v>
      </c>
      <c r="K16">
        <f>SecuredCreditorOutputs!$H$5</f>
        <v>0</v>
      </c>
      <c r="L16">
        <f>SecuredCreditorOutputs!$I$5</f>
        <v>0</v>
      </c>
      <c r="M16">
        <f>SecuredCreditorOutputs!$J$5</f>
        <v>0</v>
      </c>
      <c r="N16" s="14" t="str">
        <f t="shared" si="1"/>
        <v>No</v>
      </c>
      <c r="O16" s="18">
        <f t="shared" si="2"/>
        <v>0</v>
      </c>
      <c r="P16" s="18">
        <f t="shared" si="0"/>
        <v>0</v>
      </c>
      <c r="Q16" s="18">
        <f>IF($K$16-$F$16&gt;0,$K$16-$F$16,0)</f>
        <v>0</v>
      </c>
    </row>
    <row r="17" spans="5:17" x14ac:dyDescent="0.25">
      <c r="E17">
        <f>SecuredCreditorOutputs!$B$6</f>
        <v>0</v>
      </c>
      <c r="F17">
        <f>SecuredCreditorOutputs!$C$6</f>
        <v>0</v>
      </c>
      <c r="G17">
        <f>SecuredCreditorOutputs!$D$6</f>
        <v>0</v>
      </c>
      <c r="H17">
        <f>SecuredCreditorOutputs!$E$6</f>
        <v>0</v>
      </c>
      <c r="I17">
        <f>SecuredCreditorOutputs!$F$6</f>
        <v>0</v>
      </c>
      <c r="J17">
        <f>SecuredCreditorOutputs!$G$6</f>
        <v>0</v>
      </c>
      <c r="K17">
        <f>SecuredCreditorOutputs!$H$6</f>
        <v>0</v>
      </c>
      <c r="L17">
        <f>SecuredCreditorOutputs!$I$6</f>
        <v>0</v>
      </c>
      <c r="M17">
        <f>SecuredCreditorOutputs!$J$6</f>
        <v>0</v>
      </c>
      <c r="N17" s="14" t="str">
        <f t="shared" si="1"/>
        <v>No</v>
      </c>
      <c r="O17" s="18">
        <f t="shared" si="2"/>
        <v>0</v>
      </c>
      <c r="P17" s="18">
        <f t="shared" si="0"/>
        <v>0</v>
      </c>
      <c r="Q17" s="18">
        <f>IF($K$17-$F$17&gt;0,$K$17-$F$17,0)</f>
        <v>0</v>
      </c>
    </row>
    <row r="18" spans="5:17" x14ac:dyDescent="0.25">
      <c r="E18">
        <f>SecuredCreditorOutputs!$B$7</f>
        <v>0</v>
      </c>
      <c r="F18">
        <f>SecuredCreditorOutputs!$C$7</f>
        <v>0</v>
      </c>
      <c r="G18">
        <f>SecuredCreditorOutputs!$D$7</f>
        <v>0</v>
      </c>
      <c r="H18">
        <f>SecuredCreditorOutputs!$E$7</f>
        <v>0</v>
      </c>
      <c r="I18">
        <f>SecuredCreditorOutputs!$F$7</f>
        <v>0</v>
      </c>
      <c r="J18">
        <f>SecuredCreditorOutputs!$G$7</f>
        <v>0</v>
      </c>
      <c r="K18">
        <f>SecuredCreditorOutputs!$H$7</f>
        <v>0</v>
      </c>
      <c r="L18">
        <f>SecuredCreditorOutputs!$I$7</f>
        <v>0</v>
      </c>
      <c r="M18">
        <f>SecuredCreditorOutputs!$J$7</f>
        <v>0</v>
      </c>
      <c r="N18" s="14" t="str">
        <f t="shared" si="1"/>
        <v>No</v>
      </c>
      <c r="O18" s="18">
        <f t="shared" si="2"/>
        <v>0</v>
      </c>
      <c r="P18" s="18">
        <f t="shared" si="0"/>
        <v>0</v>
      </c>
      <c r="Q18" s="18">
        <f>IF($K$18-$F$18&gt;0,$K$18-$F$18,0)</f>
        <v>0</v>
      </c>
    </row>
    <row r="19" spans="5:17" x14ac:dyDescent="0.25">
      <c r="E19">
        <f>SecuredCreditorOutputs!$B$8</f>
        <v>0</v>
      </c>
      <c r="F19">
        <f>SecuredCreditorOutputs!$C$8</f>
        <v>0</v>
      </c>
      <c r="G19">
        <f>SecuredCreditorOutputs!$D$8</f>
        <v>0</v>
      </c>
      <c r="H19">
        <f>SecuredCreditorOutputs!$E$8</f>
        <v>0</v>
      </c>
      <c r="I19">
        <f>SecuredCreditorOutputs!$F$8</f>
        <v>0</v>
      </c>
      <c r="J19">
        <f>SecuredCreditorOutputs!$G$8</f>
        <v>0</v>
      </c>
      <c r="K19">
        <f>SecuredCreditorOutputs!$H$8</f>
        <v>0</v>
      </c>
      <c r="L19">
        <f>SecuredCreditorOutputs!$I$8</f>
        <v>0</v>
      </c>
      <c r="M19">
        <f>SecuredCreditorOutputs!$J$8</f>
        <v>0</v>
      </c>
      <c r="N19" s="14" t="str">
        <f t="shared" si="1"/>
        <v>No</v>
      </c>
      <c r="O19" s="18">
        <f t="shared" si="2"/>
        <v>0</v>
      </c>
      <c r="P19" s="18">
        <f t="shared" si="0"/>
        <v>0</v>
      </c>
      <c r="Q19" s="18">
        <f>IF($K$19-$F$19&gt;0,$K$19-$F$19,0)</f>
        <v>0</v>
      </c>
    </row>
    <row r="20" spans="5:17" x14ac:dyDescent="0.25">
      <c r="E20">
        <f>SecuredCreditorOutputs!$B$9</f>
        <v>0</v>
      </c>
      <c r="F20">
        <f>SecuredCreditorOutputs!$C$9</f>
        <v>0</v>
      </c>
      <c r="G20">
        <f>SecuredCreditorOutputs!$D$9</f>
        <v>0</v>
      </c>
      <c r="H20">
        <f>SecuredCreditorOutputs!$E$9</f>
        <v>0</v>
      </c>
      <c r="I20">
        <f>SecuredCreditorOutputs!$F$9</f>
        <v>0</v>
      </c>
      <c r="J20">
        <f>SecuredCreditorOutputs!$G$9</f>
        <v>0</v>
      </c>
      <c r="K20">
        <f>SecuredCreditorOutputs!$H$9</f>
        <v>0</v>
      </c>
      <c r="L20">
        <f>SecuredCreditorOutputs!$I$9</f>
        <v>0</v>
      </c>
      <c r="M20">
        <f>SecuredCreditorOutputs!$J$9</f>
        <v>0</v>
      </c>
      <c r="N20" s="14" t="str">
        <f t="shared" si="1"/>
        <v>No</v>
      </c>
      <c r="O20" s="18">
        <f t="shared" si="2"/>
        <v>0</v>
      </c>
      <c r="P20" s="18">
        <f t="shared" si="0"/>
        <v>0</v>
      </c>
      <c r="Q20" s="18">
        <f>IF($K$20-$F$20&gt;0,$K$20-$F$20,0)</f>
        <v>0</v>
      </c>
    </row>
    <row r="21" spans="5:17" x14ac:dyDescent="0.25">
      <c r="E21">
        <f>SecuredCreditorOutputs!$B$10</f>
        <v>0</v>
      </c>
      <c r="F21">
        <f>SecuredCreditorOutputs!$C$10</f>
        <v>0</v>
      </c>
      <c r="G21">
        <f>SecuredCreditorOutputs!$D$10</f>
        <v>0</v>
      </c>
      <c r="H21">
        <f>SecuredCreditorOutputs!$E$10</f>
        <v>0</v>
      </c>
      <c r="I21">
        <f>SecuredCreditorOutputs!$F$10</f>
        <v>0</v>
      </c>
      <c r="J21">
        <f>SecuredCreditorOutputs!$G$10</f>
        <v>0</v>
      </c>
      <c r="K21">
        <f>SecuredCreditorOutputs!$H$10</f>
        <v>0</v>
      </c>
      <c r="L21">
        <f>SecuredCreditorOutputs!$I$10</f>
        <v>0</v>
      </c>
      <c r="M21">
        <f>SecuredCreditorOutputs!$J$10</f>
        <v>0</v>
      </c>
      <c r="N21" s="14" t="str">
        <f t="shared" si="1"/>
        <v>No</v>
      </c>
      <c r="O21" s="18">
        <f t="shared" si="2"/>
        <v>0</v>
      </c>
      <c r="P21" s="18">
        <f t="shared" si="0"/>
        <v>0</v>
      </c>
      <c r="Q21" s="18">
        <f>IF($K$21-$F$21&gt;0,$K$21-$F$21,0)</f>
        <v>0</v>
      </c>
    </row>
    <row r="22" spans="5:17" x14ac:dyDescent="0.25">
      <c r="E22">
        <f>SecuredCreditorOutputs!$B$11</f>
        <v>0</v>
      </c>
      <c r="F22">
        <f>SecuredCreditorOutputs!$C$11</f>
        <v>0</v>
      </c>
      <c r="G22">
        <f>SecuredCreditorOutputs!$D$11</f>
        <v>0</v>
      </c>
      <c r="H22">
        <f>SecuredCreditorOutputs!$E$11</f>
        <v>0</v>
      </c>
      <c r="I22">
        <f>SecuredCreditorOutputs!$F$11</f>
        <v>0</v>
      </c>
      <c r="J22">
        <f>SecuredCreditorOutputs!$G$11</f>
        <v>0</v>
      </c>
      <c r="K22">
        <f>SecuredCreditorOutputs!$H$11</f>
        <v>0</v>
      </c>
      <c r="L22">
        <f>SecuredCreditorOutputs!$I$11</f>
        <v>0</v>
      </c>
      <c r="M22">
        <f>SecuredCreditorOutputs!$J$11</f>
        <v>0</v>
      </c>
      <c r="N22" s="14" t="str">
        <f t="shared" si="1"/>
        <v>No</v>
      </c>
      <c r="O22" s="18">
        <f t="shared" si="2"/>
        <v>0</v>
      </c>
      <c r="P22" s="18">
        <f t="shared" si="0"/>
        <v>0</v>
      </c>
      <c r="Q22" s="18">
        <f>IF($K$22-$F$22&gt;0,$K$22-$F$22,0)</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9570" r:id="rId3" name="Button 2">
              <controlPr defaultSize="0" print="0" autoFill="0" autoPict="0" macro="[0]!AnalysisMenu">
                <anchor moveWithCells="1">
                  <from>
                    <xdr:col>1</xdr:col>
                    <xdr:colOff>447675</xdr:colOff>
                    <xdr:row>1</xdr:row>
                    <xdr:rowOff>114300</xdr:rowOff>
                  </from>
                  <to>
                    <xdr:col>4</xdr:col>
                    <xdr:colOff>381000</xdr:colOff>
                    <xdr:row>2</xdr:row>
                    <xdr:rowOff>161925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C6:J22"/>
  <sheetViews>
    <sheetView workbookViewId="0">
      <selection activeCell="I23" sqref="I23"/>
    </sheetView>
  </sheetViews>
  <sheetFormatPr defaultRowHeight="15" x14ac:dyDescent="0.25"/>
  <cols>
    <col min="4" max="4" width="18.7109375" customWidth="1"/>
    <col min="5" max="5" width="23.42578125" customWidth="1"/>
    <col min="6" max="6" width="15.42578125" customWidth="1"/>
    <col min="7" max="7" width="14.42578125" customWidth="1"/>
    <col min="8" max="8" width="15.5703125" customWidth="1"/>
    <col min="9" max="9" width="22.5703125" customWidth="1"/>
  </cols>
  <sheetData>
    <row r="6" spans="3:10" x14ac:dyDescent="0.25">
      <c r="C6" s="1" t="s">
        <v>210</v>
      </c>
    </row>
    <row r="7" spans="3:10" x14ac:dyDescent="0.25">
      <c r="C7">
        <f>Rent2OwnOutputs!$A$2</f>
        <v>0</v>
      </c>
    </row>
    <row r="11" spans="3:10" x14ac:dyDescent="0.25">
      <c r="D11" s="7" t="s">
        <v>154</v>
      </c>
      <c r="E11" s="7" t="s">
        <v>153</v>
      </c>
      <c r="F11" s="7" t="s">
        <v>79</v>
      </c>
      <c r="G11" s="7" t="s">
        <v>78</v>
      </c>
      <c r="H11" s="7" t="s">
        <v>152</v>
      </c>
      <c r="I11" s="7" t="s">
        <v>151</v>
      </c>
      <c r="J11" s="7"/>
    </row>
    <row r="13" spans="3:10" x14ac:dyDescent="0.25">
      <c r="C13">
        <v>1</v>
      </c>
      <c r="D13">
        <f>Rent2OwnOutputs!$B$2</f>
        <v>0</v>
      </c>
      <c r="E13">
        <f>Rent2OwnOutputs!$C$2</f>
        <v>0</v>
      </c>
      <c r="F13">
        <f>Rent2OwnOutputs!$D$2</f>
        <v>0</v>
      </c>
      <c r="G13">
        <f>Rent2OwnOutputs!$E$2</f>
        <v>0</v>
      </c>
      <c r="H13">
        <f>Rent2OwnOutputs!$F$2</f>
        <v>0</v>
      </c>
      <c r="I13">
        <f>Rent2OwnOutputs!$G$2</f>
        <v>0</v>
      </c>
    </row>
    <row r="14" spans="3:10" x14ac:dyDescent="0.25">
      <c r="C14">
        <f>C13+1</f>
        <v>2</v>
      </c>
      <c r="D14">
        <f>Rent2OwnOutputs!$B$3</f>
        <v>0</v>
      </c>
      <c r="E14">
        <f>Rent2OwnOutputs!$C$3</f>
        <v>0</v>
      </c>
      <c r="F14">
        <f>Rent2OwnOutputs!$D$3</f>
        <v>0</v>
      </c>
      <c r="G14">
        <f>Rent2OwnOutputs!$E$3</f>
        <v>0</v>
      </c>
      <c r="H14">
        <f>Rent2OwnOutputs!$F$3</f>
        <v>0</v>
      </c>
      <c r="I14">
        <f>Rent2OwnOutputs!$G$3</f>
        <v>0</v>
      </c>
    </row>
    <row r="15" spans="3:10" x14ac:dyDescent="0.25">
      <c r="C15">
        <f t="shared" ref="C15:C22" si="0">C14+1</f>
        <v>3</v>
      </c>
      <c r="D15">
        <f>Rent2OwnOutputs!$B$4</f>
        <v>0</v>
      </c>
      <c r="E15">
        <f>Rent2OwnOutputs!$C$4</f>
        <v>0</v>
      </c>
      <c r="F15">
        <f>Rent2OwnOutputs!$D$4</f>
        <v>0</v>
      </c>
      <c r="G15">
        <f>Rent2OwnOutputs!$E$4</f>
        <v>0</v>
      </c>
      <c r="H15">
        <f>Rent2OwnOutputs!$F$4</f>
        <v>0</v>
      </c>
      <c r="I15">
        <f>Rent2OwnOutputs!$G$4</f>
        <v>0</v>
      </c>
    </row>
    <row r="16" spans="3:10" x14ac:dyDescent="0.25">
      <c r="C16">
        <f t="shared" si="0"/>
        <v>4</v>
      </c>
      <c r="D16">
        <f>Rent2OwnOutputs!$B$5</f>
        <v>0</v>
      </c>
      <c r="E16">
        <f>Rent2OwnOutputs!$C$5</f>
        <v>0</v>
      </c>
      <c r="F16">
        <f>Rent2OwnOutputs!$D$5</f>
        <v>0</v>
      </c>
      <c r="G16">
        <f>Rent2OwnOutputs!$E$5</f>
        <v>0</v>
      </c>
      <c r="H16">
        <f>Rent2OwnOutputs!$F$5</f>
        <v>0</v>
      </c>
      <c r="I16">
        <f>Rent2OwnOutputs!$G$5</f>
        <v>0</v>
      </c>
    </row>
    <row r="17" spans="3:9" x14ac:dyDescent="0.25">
      <c r="C17">
        <f t="shared" si="0"/>
        <v>5</v>
      </c>
      <c r="D17">
        <f>Rent2OwnOutputs!$B$6</f>
        <v>0</v>
      </c>
      <c r="E17">
        <f>Rent2OwnOutputs!$C$6</f>
        <v>0</v>
      </c>
      <c r="F17">
        <f>Rent2OwnOutputs!$D$6</f>
        <v>0</v>
      </c>
      <c r="G17">
        <f>Rent2OwnOutputs!$E$6</f>
        <v>0</v>
      </c>
      <c r="H17">
        <f>Rent2OwnOutputs!$F$6</f>
        <v>0</v>
      </c>
      <c r="I17">
        <f>Rent2OwnOutputs!$G$6</f>
        <v>0</v>
      </c>
    </row>
    <row r="18" spans="3:9" x14ac:dyDescent="0.25">
      <c r="C18">
        <f t="shared" si="0"/>
        <v>6</v>
      </c>
      <c r="D18">
        <f>Rent2OwnOutputs!$B$7</f>
        <v>0</v>
      </c>
      <c r="E18">
        <f>Rent2OwnOutputs!$C$7</f>
        <v>0</v>
      </c>
      <c r="F18">
        <f>Rent2OwnOutputs!$D$7</f>
        <v>0</v>
      </c>
      <c r="G18">
        <f>Rent2OwnOutputs!$E$7</f>
        <v>0</v>
      </c>
      <c r="H18">
        <f>Rent2OwnOutputs!$F$7</f>
        <v>0</v>
      </c>
      <c r="I18">
        <f>Rent2OwnOutputs!$G$7</f>
        <v>0</v>
      </c>
    </row>
    <row r="19" spans="3:9" x14ac:dyDescent="0.25">
      <c r="C19">
        <f t="shared" si="0"/>
        <v>7</v>
      </c>
      <c r="D19">
        <f>Rent2OwnOutputs!$B$8</f>
        <v>0</v>
      </c>
      <c r="E19">
        <f>Rent2OwnOutputs!$C$8</f>
        <v>0</v>
      </c>
      <c r="F19">
        <f>Rent2OwnOutputs!$D$8</f>
        <v>0</v>
      </c>
      <c r="G19">
        <f>Rent2OwnOutputs!$E$8</f>
        <v>0</v>
      </c>
      <c r="H19">
        <f>Rent2OwnOutputs!$F$8</f>
        <v>0</v>
      </c>
      <c r="I19">
        <f>Rent2OwnOutputs!$G$8</f>
        <v>0</v>
      </c>
    </row>
    <row r="20" spans="3:9" x14ac:dyDescent="0.25">
      <c r="C20">
        <f t="shared" si="0"/>
        <v>8</v>
      </c>
      <c r="D20">
        <f>Rent2OwnOutputs!$B$9</f>
        <v>0</v>
      </c>
      <c r="E20">
        <f>Rent2OwnOutputs!$C$9</f>
        <v>0</v>
      </c>
      <c r="F20">
        <f>Rent2OwnOutputs!$D$9</f>
        <v>0</v>
      </c>
      <c r="G20">
        <f>Rent2OwnOutputs!$E$9</f>
        <v>0</v>
      </c>
      <c r="H20">
        <f>Rent2OwnOutputs!$F$9</f>
        <v>0</v>
      </c>
      <c r="I20">
        <f>Rent2OwnOutputs!$G$9</f>
        <v>0</v>
      </c>
    </row>
    <row r="21" spans="3:9" x14ac:dyDescent="0.25">
      <c r="C21">
        <f t="shared" si="0"/>
        <v>9</v>
      </c>
      <c r="D21">
        <f>Rent2OwnOutputs!$B$10</f>
        <v>0</v>
      </c>
      <c r="E21">
        <f>Rent2OwnOutputs!$C$10</f>
        <v>0</v>
      </c>
      <c r="F21">
        <f>Rent2OwnOutputs!$D$10</f>
        <v>0</v>
      </c>
      <c r="G21">
        <f>Rent2OwnOutputs!$E$10</f>
        <v>0</v>
      </c>
      <c r="H21">
        <f>Rent2OwnOutputs!$F$10</f>
        <v>0</v>
      </c>
      <c r="I21">
        <f>Rent2OwnOutputs!$G$10</f>
        <v>0</v>
      </c>
    </row>
    <row r="22" spans="3:9" x14ac:dyDescent="0.25">
      <c r="C22">
        <f t="shared" si="0"/>
        <v>10</v>
      </c>
      <c r="D22">
        <f>Rent2OwnOutputs!$B$11</f>
        <v>0</v>
      </c>
      <c r="E22">
        <f>Rent2OwnOutputs!$C$11</f>
        <v>0</v>
      </c>
      <c r="F22">
        <f>Rent2OwnOutputs!$D$11</f>
        <v>0</v>
      </c>
      <c r="G22">
        <f>Rent2OwnOutputs!$E$11</f>
        <v>0</v>
      </c>
      <c r="H22">
        <f>Rent2OwnOutputs!$F$11</f>
        <v>0</v>
      </c>
      <c r="I22">
        <f>Rent2OwnOutputs!$G$11</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8" r:id="rId3" name="Button 2">
              <controlPr defaultSize="0" print="0" autoFill="0" autoPict="0" macro="[0]!AnalysisMenu">
                <anchor moveWithCells="1">
                  <from>
                    <xdr:col>1</xdr:col>
                    <xdr:colOff>447675</xdr:colOff>
                    <xdr:row>1</xdr:row>
                    <xdr:rowOff>114300</xdr:rowOff>
                  </from>
                  <to>
                    <xdr:col>3</xdr:col>
                    <xdr:colOff>990600</xdr:colOff>
                    <xdr:row>2</xdr:row>
                    <xdr:rowOff>161925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7:K177"/>
  <sheetViews>
    <sheetView tabSelected="1" workbookViewId="0">
      <selection activeCell="A175" sqref="A175"/>
    </sheetView>
  </sheetViews>
  <sheetFormatPr defaultRowHeight="15" x14ac:dyDescent="0.25"/>
  <cols>
    <col min="1" max="1" width="34.7109375" customWidth="1"/>
    <col min="2" max="2" width="23.7109375" customWidth="1"/>
    <col min="3" max="3" width="17" customWidth="1"/>
    <col min="5" max="5" width="18.85546875" customWidth="1"/>
    <col min="6" max="6" width="14.5703125" customWidth="1"/>
    <col min="8" max="8" width="9.85546875" bestFit="1" customWidth="1"/>
    <col min="10" max="10" width="15.85546875" customWidth="1"/>
    <col min="11" max="11" width="19" customWidth="1"/>
  </cols>
  <sheetData>
    <row r="7" spans="1:6" x14ac:dyDescent="0.25">
      <c r="A7" s="25" t="s">
        <v>596</v>
      </c>
      <c r="B7" s="4"/>
      <c r="C7" s="4"/>
      <c r="D7" s="4"/>
      <c r="E7" s="1" t="s">
        <v>662</v>
      </c>
      <c r="F7" s="119"/>
    </row>
    <row r="8" spans="1:6" x14ac:dyDescent="0.25">
      <c r="A8" s="4"/>
      <c r="B8" s="4"/>
      <c r="C8" s="4"/>
      <c r="D8" s="4"/>
    </row>
    <row r="9" spans="1:6" x14ac:dyDescent="0.25">
      <c r="A9" s="105" t="s">
        <v>597</v>
      </c>
      <c r="B9" s="18">
        <f>Unsecured!$D$43</f>
        <v>0</v>
      </c>
      <c r="C9" s="4"/>
      <c r="D9" s="4"/>
    </row>
    <row r="10" spans="1:6" x14ac:dyDescent="0.25">
      <c r="A10" s="105" t="s">
        <v>598</v>
      </c>
      <c r="B10" s="28">
        <f>B9*0.05</f>
        <v>0</v>
      </c>
      <c r="C10" s="4"/>
      <c r="D10" s="4"/>
    </row>
    <row r="11" spans="1:6" x14ac:dyDescent="0.25">
      <c r="A11" s="105" t="s">
        <v>599</v>
      </c>
      <c r="B11" s="102">
        <f>Equity!$F$50</f>
        <v>0</v>
      </c>
      <c r="C11" s="4"/>
      <c r="D11" s="4"/>
    </row>
    <row r="12" spans="1:6" x14ac:dyDescent="0.25">
      <c r="A12" s="105" t="s">
        <v>600</v>
      </c>
      <c r="B12" s="106">
        <f>IF(B10&gt;B11,B10,B11)</f>
        <v>0</v>
      </c>
      <c r="C12" s="106">
        <f>IF(B12&lt;B9,B12,B9)</f>
        <v>0</v>
      </c>
      <c r="D12" s="4"/>
      <c r="E12" s="125">
        <f>$C$12</f>
        <v>0</v>
      </c>
    </row>
    <row r="13" spans="1:6" x14ac:dyDescent="0.25">
      <c r="A13" s="25"/>
      <c r="B13" s="4"/>
      <c r="C13" s="4"/>
      <c r="D13" s="4"/>
    </row>
    <row r="14" spans="1:6" x14ac:dyDescent="0.25">
      <c r="A14" s="107" t="str">
        <f>Vehicles!$D$42</f>
        <v xml:space="preserve"> </v>
      </c>
      <c r="B14" s="18">
        <f>Vehicles!$R$42</f>
        <v>0</v>
      </c>
      <c r="C14" s="4"/>
      <c r="D14" s="35"/>
    </row>
    <row r="15" spans="1:6" x14ac:dyDescent="0.25">
      <c r="A15" s="108" t="str">
        <f>IF(A14=" "," ","Interest")</f>
        <v xml:space="preserve"> </v>
      </c>
      <c r="B15" s="117">
        <f>(PMT($F$7/12,$C$84,-B14)*$C$84)-B14</f>
        <v>0</v>
      </c>
      <c r="C15" s="18">
        <f>SUM(B14:B15)</f>
        <v>0</v>
      </c>
      <c r="D15" s="115"/>
    </row>
    <row r="16" spans="1:6" x14ac:dyDescent="0.25">
      <c r="A16" s="107" t="str">
        <f>Vehicles!$D$43</f>
        <v xml:space="preserve"> </v>
      </c>
      <c r="B16" s="18">
        <f>Vehicles!$R$43</f>
        <v>0</v>
      </c>
      <c r="C16" s="4"/>
      <c r="D16" s="35"/>
    </row>
    <row r="17" spans="1:8" x14ac:dyDescent="0.25">
      <c r="A17" s="108" t="str">
        <f>IF(A16=" "," ","Interest")</f>
        <v xml:space="preserve"> </v>
      </c>
      <c r="B17" s="117">
        <f>(PMT($F$7/12,$C$84,-B16)*$C$84)-B16</f>
        <v>0</v>
      </c>
      <c r="C17" s="18">
        <f>SUM(B16:B17)</f>
        <v>0</v>
      </c>
      <c r="D17" s="115"/>
    </row>
    <row r="18" spans="1:8" x14ac:dyDescent="0.25">
      <c r="A18" s="107" t="str">
        <f>Vehicles!$D$44</f>
        <v xml:space="preserve"> </v>
      </c>
      <c r="B18" s="18">
        <f>Vehicles!$R$44</f>
        <v>0</v>
      </c>
      <c r="C18" s="4"/>
      <c r="D18" s="115"/>
    </row>
    <row r="19" spans="1:8" x14ac:dyDescent="0.25">
      <c r="A19" s="108" t="str">
        <f>IF(A18=" "," ","Interest")</f>
        <v xml:space="preserve"> </v>
      </c>
      <c r="B19" s="117">
        <f>(PMT($F$7/12,$C$84,-B18)*$C$84)-B18</f>
        <v>0</v>
      </c>
      <c r="C19" s="18">
        <f>SUM(B18:B19)</f>
        <v>0</v>
      </c>
      <c r="D19" s="115"/>
      <c r="G19" s="121"/>
    </row>
    <row r="20" spans="1:8" x14ac:dyDescent="0.25">
      <c r="A20" s="107" t="str">
        <f>Vehicles!$D$45</f>
        <v xml:space="preserve"> </v>
      </c>
      <c r="B20" s="18">
        <f>Vehicles!$R$45</f>
        <v>0</v>
      </c>
      <c r="C20" s="4"/>
      <c r="D20" s="115"/>
    </row>
    <row r="21" spans="1:8" x14ac:dyDescent="0.25">
      <c r="A21" s="108" t="str">
        <f>IF(A20=" "," ","Interest")</f>
        <v xml:space="preserve"> </v>
      </c>
      <c r="B21" s="117">
        <f>(PMT($F$7/12,$C$84,-B20)*$C$84)-B20</f>
        <v>0</v>
      </c>
      <c r="C21" s="18">
        <f>SUM(B20:B21)</f>
        <v>0</v>
      </c>
      <c r="D21" s="35"/>
    </row>
    <row r="22" spans="1:8" x14ac:dyDescent="0.25">
      <c r="A22" s="107" t="str">
        <f>Vehicles!$D$46</f>
        <v xml:space="preserve"> </v>
      </c>
      <c r="B22" s="18">
        <f>Vehicles!$R$46</f>
        <v>0</v>
      </c>
      <c r="C22" s="4"/>
      <c r="D22" s="115"/>
    </row>
    <row r="23" spans="1:8" x14ac:dyDescent="0.25">
      <c r="A23" s="108" t="str">
        <f>IF(A22=" "," ","Interest")</f>
        <v xml:space="preserve"> </v>
      </c>
      <c r="B23" s="117">
        <f>(PMT($F$7/12,$C$84,-B22)*$C$84)-B22</f>
        <v>0</v>
      </c>
      <c r="C23" s="18">
        <f>SUM(B22:B23)</f>
        <v>0</v>
      </c>
      <c r="D23" s="115"/>
      <c r="F23" s="121"/>
      <c r="H23" s="121"/>
    </row>
    <row r="24" spans="1:8" x14ac:dyDescent="0.25">
      <c r="A24" s="107" t="str">
        <f>Vehicles!$D$47</f>
        <v xml:space="preserve"> </v>
      </c>
      <c r="B24" s="18">
        <f>Vehicles!$R$47</f>
        <v>0</v>
      </c>
      <c r="C24" s="4"/>
      <c r="D24" s="115"/>
    </row>
    <row r="25" spans="1:8" x14ac:dyDescent="0.25">
      <c r="A25" s="108" t="str">
        <f>IF(A24=" "," ","Interest")</f>
        <v xml:space="preserve"> </v>
      </c>
      <c r="B25" s="117">
        <f>(PMT($F$7/12,$C$84,-B24)*$C$84)-B24</f>
        <v>0</v>
      </c>
      <c r="C25" s="18">
        <f>SUM(B24:B25)</f>
        <v>0</v>
      </c>
      <c r="D25" s="115"/>
    </row>
    <row r="26" spans="1:8" x14ac:dyDescent="0.25">
      <c r="A26" s="107" t="str">
        <f>Vehicles!$D$48</f>
        <v xml:space="preserve"> </v>
      </c>
      <c r="B26" s="18">
        <f>Vehicles!$R$48</f>
        <v>0</v>
      </c>
      <c r="C26" s="4"/>
      <c r="D26" s="35"/>
    </row>
    <row r="27" spans="1:8" x14ac:dyDescent="0.25">
      <c r="A27" s="108" t="str">
        <f>IF(A26=" "," ","Interest")</f>
        <v xml:space="preserve"> </v>
      </c>
      <c r="B27" s="117">
        <f>(PMT($F$7/12,$C$84,-B26)*$C$84)-B26</f>
        <v>0</v>
      </c>
      <c r="C27" s="18">
        <f>SUM(B26:B27)</f>
        <v>0</v>
      </c>
      <c r="D27" s="115"/>
    </row>
    <row r="28" spans="1:8" x14ac:dyDescent="0.25">
      <c r="A28" s="107" t="str">
        <f>Vehicles!$D$49</f>
        <v xml:space="preserve"> </v>
      </c>
      <c r="B28" s="18">
        <f>Vehicles!$R$49</f>
        <v>0</v>
      </c>
      <c r="C28" s="4"/>
      <c r="D28" s="115"/>
    </row>
    <row r="29" spans="1:8" x14ac:dyDescent="0.25">
      <c r="A29" s="108" t="str">
        <f>IF(A28=" "," ","Interest")</f>
        <v xml:space="preserve"> </v>
      </c>
      <c r="B29" s="117">
        <f>(PMT($F$7/12,$C$84,-B28)*$C$84)-B28</f>
        <v>0</v>
      </c>
      <c r="C29" s="18">
        <f>SUM(B28:B29)</f>
        <v>0</v>
      </c>
      <c r="D29" s="115"/>
    </row>
    <row r="30" spans="1:8" x14ac:dyDescent="0.25">
      <c r="A30" s="107" t="str">
        <f>Vehicles!$D$50</f>
        <v xml:space="preserve"> </v>
      </c>
      <c r="B30" s="18">
        <f>Vehicles!$R$50</f>
        <v>0</v>
      </c>
      <c r="C30" s="4"/>
      <c r="D30" s="115"/>
    </row>
    <row r="31" spans="1:8" x14ac:dyDescent="0.25">
      <c r="A31" s="108" t="str">
        <f>IF(A30=" "," ","Interest")</f>
        <v xml:space="preserve"> </v>
      </c>
      <c r="B31" s="117">
        <f>(PMT($F$7/12,$C$84,-B30)*$C$84)-B30</f>
        <v>0</v>
      </c>
      <c r="C31" s="18">
        <f>SUM(B30:B31)</f>
        <v>0</v>
      </c>
      <c r="D31" s="35"/>
    </row>
    <row r="32" spans="1:8" x14ac:dyDescent="0.25">
      <c r="A32" s="107" t="str">
        <f>Vehicles!$D$51</f>
        <v xml:space="preserve"> </v>
      </c>
      <c r="B32" s="18">
        <f>Vehicles!$R$51</f>
        <v>0</v>
      </c>
      <c r="C32" s="4"/>
      <c r="D32" s="115"/>
    </row>
    <row r="33" spans="1:11" x14ac:dyDescent="0.25">
      <c r="A33" s="108" t="str">
        <f>IF(A32=" "," ","Interest")</f>
        <v xml:space="preserve"> </v>
      </c>
      <c r="B33" s="117">
        <f>(PMT($F$7/12,$C$84,-B32)*$C$84)-B32</f>
        <v>0</v>
      </c>
      <c r="C33" s="18">
        <f>SUM(B32:B33)</f>
        <v>0</v>
      </c>
      <c r="D33" s="115"/>
      <c r="E33" s="18">
        <f>SUM(C15:C33)</f>
        <v>0</v>
      </c>
    </row>
    <row r="34" spans="1:11" x14ac:dyDescent="0.25">
      <c r="A34" s="25"/>
      <c r="B34" s="4"/>
      <c r="C34" s="4"/>
      <c r="D34" s="115"/>
    </row>
    <row r="35" spans="1:11" x14ac:dyDescent="0.25">
      <c r="A35" s="120" t="str">
        <f>RealProperty!$C$66</f>
        <v xml:space="preserve"> </v>
      </c>
      <c r="B35" s="18">
        <f>RealProperty!$P$66</f>
        <v>0</v>
      </c>
      <c r="C35" s="117">
        <f t="shared" ref="C35:C44" si="0">(PMT($K$35/12,$C$84,-B35)*$C$84)-B35</f>
        <v>0</v>
      </c>
      <c r="D35" s="117">
        <f>SUM(B35:C35)</f>
        <v>0</v>
      </c>
      <c r="E35" s="1" t="s">
        <v>667</v>
      </c>
      <c r="G35" s="1" t="s">
        <v>666</v>
      </c>
      <c r="K35" s="119"/>
    </row>
    <row r="36" spans="1:11" x14ac:dyDescent="0.25">
      <c r="A36" s="120" t="str">
        <f>RealProperty!$C$67</f>
        <v xml:space="preserve"> </v>
      </c>
      <c r="B36" s="18">
        <f>RealProperty!$P$67</f>
        <v>0</v>
      </c>
      <c r="C36" s="117">
        <f t="shared" si="0"/>
        <v>0</v>
      </c>
      <c r="D36" s="117">
        <f t="shared" ref="D36:D44" si="1">SUM(B36:C36)</f>
        <v>0</v>
      </c>
    </row>
    <row r="37" spans="1:11" x14ac:dyDescent="0.25">
      <c r="A37" s="120" t="str">
        <f>RealProperty!$C$68</f>
        <v xml:space="preserve"> </v>
      </c>
      <c r="B37" s="18">
        <f>RealProperty!$P$68</f>
        <v>0</v>
      </c>
      <c r="C37" s="117">
        <f t="shared" si="0"/>
        <v>0</v>
      </c>
      <c r="D37" s="117">
        <f t="shared" si="1"/>
        <v>0</v>
      </c>
    </row>
    <row r="38" spans="1:11" x14ac:dyDescent="0.25">
      <c r="A38" s="120" t="str">
        <f>RealProperty!$C$69</f>
        <v xml:space="preserve"> </v>
      </c>
      <c r="B38" s="18">
        <f>RealProperty!$P$69</f>
        <v>0</v>
      </c>
      <c r="C38" s="117">
        <f t="shared" si="0"/>
        <v>0</v>
      </c>
      <c r="D38" s="117">
        <f t="shared" si="1"/>
        <v>0</v>
      </c>
    </row>
    <row r="39" spans="1:11" x14ac:dyDescent="0.25">
      <c r="A39" s="120" t="str">
        <f>RealProperty!$C$70</f>
        <v xml:space="preserve"> </v>
      </c>
      <c r="B39" s="18">
        <f>RealProperty!$P$70</f>
        <v>0</v>
      </c>
      <c r="C39" s="117">
        <f t="shared" si="0"/>
        <v>0</v>
      </c>
      <c r="D39" s="117">
        <f t="shared" si="1"/>
        <v>0</v>
      </c>
    </row>
    <row r="40" spans="1:11" x14ac:dyDescent="0.25">
      <c r="A40" s="120" t="str">
        <f>RealProperty!$C$71</f>
        <v xml:space="preserve"> </v>
      </c>
      <c r="B40" s="18">
        <f>RealProperty!$P$71</f>
        <v>0</v>
      </c>
      <c r="C40" s="117">
        <f t="shared" si="0"/>
        <v>0</v>
      </c>
      <c r="D40" s="117">
        <f t="shared" si="1"/>
        <v>0</v>
      </c>
    </row>
    <row r="41" spans="1:11" x14ac:dyDescent="0.25">
      <c r="A41" s="120" t="str">
        <f>RealProperty!$C$72</f>
        <v xml:space="preserve"> </v>
      </c>
      <c r="B41" s="18">
        <f>RealProperty!$P$72</f>
        <v>0</v>
      </c>
      <c r="C41" s="117">
        <f t="shared" si="0"/>
        <v>0</v>
      </c>
      <c r="D41" s="117">
        <f t="shared" si="1"/>
        <v>0</v>
      </c>
    </row>
    <row r="42" spans="1:11" x14ac:dyDescent="0.25">
      <c r="A42" s="120" t="str">
        <f>RealProperty!$C$73</f>
        <v xml:space="preserve"> </v>
      </c>
      <c r="B42" s="18">
        <f>RealProperty!$P$73</f>
        <v>0</v>
      </c>
      <c r="C42" s="117">
        <f t="shared" si="0"/>
        <v>0</v>
      </c>
      <c r="D42" s="117">
        <f t="shared" si="1"/>
        <v>0</v>
      </c>
    </row>
    <row r="43" spans="1:11" x14ac:dyDescent="0.25">
      <c r="A43" s="120" t="str">
        <f>RealProperty!$C$74</f>
        <v xml:space="preserve"> </v>
      </c>
      <c r="B43" s="18">
        <f>RealProperty!$P$74</f>
        <v>0</v>
      </c>
      <c r="C43" s="117">
        <f t="shared" si="0"/>
        <v>0</v>
      </c>
      <c r="D43" s="117">
        <f t="shared" si="1"/>
        <v>0</v>
      </c>
    </row>
    <row r="44" spans="1:11" x14ac:dyDescent="0.25">
      <c r="A44" s="120" t="str">
        <f>RealProperty!$C$75</f>
        <v xml:space="preserve"> </v>
      </c>
      <c r="B44" s="18">
        <f>RealProperty!$P$75</f>
        <v>0</v>
      </c>
      <c r="C44" s="117">
        <f t="shared" si="0"/>
        <v>0</v>
      </c>
      <c r="D44" s="117">
        <f t="shared" si="1"/>
        <v>0</v>
      </c>
      <c r="E44" s="18">
        <f>SUM(D35:D44)</f>
        <v>0</v>
      </c>
    </row>
    <row r="45" spans="1:11" x14ac:dyDescent="0.25">
      <c r="A45" s="109"/>
      <c r="B45" s="101"/>
      <c r="C45" s="35"/>
      <c r="D45" s="35"/>
    </row>
    <row r="46" spans="1:11" x14ac:dyDescent="0.25">
      <c r="A46" s="107" t="str">
        <f>IF(NonVehicleSecured!E13=0," ",NonVehicleSecured!E13)</f>
        <v xml:space="preserve"> </v>
      </c>
      <c r="B46" s="18">
        <f>IF(F46="Yes",0,NonVehicleSecured!O13)</f>
        <v>0</v>
      </c>
      <c r="C46" s="117">
        <f>(PMT($F$7/12,$C$84,-B46)*$C$84)-B46</f>
        <v>0</v>
      </c>
      <c r="D46" s="117">
        <f>SUM(B46:C46)</f>
        <v>0</v>
      </c>
      <c r="E46" s="123" t="s">
        <v>665</v>
      </c>
      <c r="F46" s="11"/>
    </row>
    <row r="47" spans="1:11" x14ac:dyDescent="0.25">
      <c r="A47" s="107" t="str">
        <f>IF(NonVehicleSecured!E14=0," ",NonVehicleSecured!E14)</f>
        <v xml:space="preserve"> </v>
      </c>
      <c r="B47" s="18">
        <f>IF(F47="Yes",0,NonVehicleSecured!O14)</f>
        <v>0</v>
      </c>
      <c r="C47" s="117">
        <f t="shared" ref="C47:C55" si="2">(PMT($F$7/12,$C$84,-B47)*$C$84)-B47</f>
        <v>0</v>
      </c>
      <c r="D47" s="117">
        <f t="shared" ref="D47:D55" si="3">SUM(B47:C47)</f>
        <v>0</v>
      </c>
      <c r="E47" s="123" t="s">
        <v>665</v>
      </c>
      <c r="F47" s="11"/>
      <c r="K47" s="122" t="s">
        <v>70</v>
      </c>
    </row>
    <row r="48" spans="1:11" x14ac:dyDescent="0.25">
      <c r="A48" s="107" t="str">
        <f>IF(NonVehicleSecured!E15=0," ",NonVehicleSecured!E15)</f>
        <v xml:space="preserve"> </v>
      </c>
      <c r="B48" s="18">
        <f>IF(F48="Yes",0,NonVehicleSecured!O15)</f>
        <v>0</v>
      </c>
      <c r="C48" s="117">
        <f t="shared" si="2"/>
        <v>0</v>
      </c>
      <c r="D48" s="117">
        <f t="shared" si="3"/>
        <v>0</v>
      </c>
      <c r="E48" s="123" t="s">
        <v>665</v>
      </c>
      <c r="F48" s="11"/>
      <c r="K48" s="122" t="s">
        <v>4</v>
      </c>
    </row>
    <row r="49" spans="1:7" x14ac:dyDescent="0.25">
      <c r="A49" s="107" t="str">
        <f>IF(NonVehicleSecured!E16=0," ",NonVehicleSecured!E16)</f>
        <v xml:space="preserve"> </v>
      </c>
      <c r="B49" s="18">
        <f>IF(F49="Yes",0,NonVehicleSecured!O16)</f>
        <v>0</v>
      </c>
      <c r="C49" s="117">
        <f t="shared" si="2"/>
        <v>0</v>
      </c>
      <c r="D49" s="117">
        <f t="shared" si="3"/>
        <v>0</v>
      </c>
      <c r="E49" s="123" t="s">
        <v>665</v>
      </c>
      <c r="F49" s="11"/>
    </row>
    <row r="50" spans="1:7" x14ac:dyDescent="0.25">
      <c r="A50" s="107" t="str">
        <f>IF(NonVehicleSecured!E17=0," ",NonVehicleSecured!E17)</f>
        <v xml:space="preserve"> </v>
      </c>
      <c r="B50" s="18">
        <f>IF(F50="Yes",0,NonVehicleSecured!O17)</f>
        <v>0</v>
      </c>
      <c r="C50" s="117">
        <f t="shared" si="2"/>
        <v>0</v>
      </c>
      <c r="D50" s="117">
        <f t="shared" si="3"/>
        <v>0</v>
      </c>
      <c r="E50" s="123" t="s">
        <v>665</v>
      </c>
      <c r="F50" s="11"/>
    </row>
    <row r="51" spans="1:7" x14ac:dyDescent="0.25">
      <c r="A51" s="107" t="str">
        <f>IF(NonVehicleSecured!E18=0," ",NonVehicleSecured!E18)</f>
        <v xml:space="preserve"> </v>
      </c>
      <c r="B51" s="18">
        <f>IF(F51="Yes",0,NonVehicleSecured!O18)</f>
        <v>0</v>
      </c>
      <c r="C51" s="117">
        <f t="shared" si="2"/>
        <v>0</v>
      </c>
      <c r="D51" s="117">
        <f t="shared" si="3"/>
        <v>0</v>
      </c>
      <c r="E51" s="123" t="s">
        <v>665</v>
      </c>
      <c r="F51" s="11"/>
    </row>
    <row r="52" spans="1:7" x14ac:dyDescent="0.25">
      <c r="A52" s="107" t="str">
        <f>IF(NonVehicleSecured!E19=0," ",NonVehicleSecured!E19)</f>
        <v xml:space="preserve"> </v>
      </c>
      <c r="B52" s="18">
        <f>IF(F52="Yes",0,NonVehicleSecured!O19)</f>
        <v>0</v>
      </c>
      <c r="C52" s="117">
        <f t="shared" si="2"/>
        <v>0</v>
      </c>
      <c r="D52" s="117">
        <f t="shared" si="3"/>
        <v>0</v>
      </c>
      <c r="E52" s="123" t="s">
        <v>665</v>
      </c>
      <c r="F52" s="11"/>
    </row>
    <row r="53" spans="1:7" x14ac:dyDescent="0.25">
      <c r="A53" s="107" t="str">
        <f>IF(NonVehicleSecured!E20=0," ",NonVehicleSecured!E20)</f>
        <v xml:space="preserve"> </v>
      </c>
      <c r="B53" s="18">
        <f>IF(F53="Yes",0,NonVehicleSecured!O20)</f>
        <v>0</v>
      </c>
      <c r="C53" s="117">
        <f t="shared" si="2"/>
        <v>0</v>
      </c>
      <c r="D53" s="117">
        <f t="shared" si="3"/>
        <v>0</v>
      </c>
      <c r="E53" s="123" t="s">
        <v>665</v>
      </c>
      <c r="F53" s="11"/>
    </row>
    <row r="54" spans="1:7" x14ac:dyDescent="0.25">
      <c r="A54" s="107" t="str">
        <f>IF(NonVehicleSecured!E21=0," ",NonVehicleSecured!E21)</f>
        <v xml:space="preserve"> </v>
      </c>
      <c r="B54" s="18">
        <f>IF(F54="Yes",0,NonVehicleSecured!O21)</f>
        <v>0</v>
      </c>
      <c r="C54" s="117">
        <f t="shared" si="2"/>
        <v>0</v>
      </c>
      <c r="D54" s="117">
        <f t="shared" si="3"/>
        <v>0</v>
      </c>
      <c r="E54" s="123" t="s">
        <v>665</v>
      </c>
      <c r="F54" s="11"/>
    </row>
    <row r="55" spans="1:7" x14ac:dyDescent="0.25">
      <c r="A55" s="107" t="str">
        <f>IF(NonVehicleSecured!E22=0," ",NonVehicleSecured!E22)</f>
        <v xml:space="preserve"> </v>
      </c>
      <c r="B55" s="18">
        <f>IF(F55="Yes",0,NonVehicleSecured!O22)</f>
        <v>0</v>
      </c>
      <c r="C55" s="117">
        <f t="shared" si="2"/>
        <v>0</v>
      </c>
      <c r="D55" s="117">
        <f t="shared" si="3"/>
        <v>0</v>
      </c>
      <c r="E55" s="123" t="s">
        <v>665</v>
      </c>
      <c r="F55" s="11"/>
      <c r="G55" s="18">
        <f>SUM(D46:D55)</f>
        <v>0</v>
      </c>
    </row>
    <row r="56" spans="1:7" x14ac:dyDescent="0.25">
      <c r="A56" s="107"/>
      <c r="B56" s="101"/>
      <c r="C56" s="35"/>
      <c r="D56" s="35"/>
    </row>
    <row r="57" spans="1:7" x14ac:dyDescent="0.25">
      <c r="A57" s="107" t="s">
        <v>663</v>
      </c>
      <c r="B57" s="101"/>
      <c r="C57" s="117">
        <f>BackTaxes!$D$14</f>
        <v>0</v>
      </c>
      <c r="D57" s="35"/>
      <c r="E57" s="125">
        <f>E12+E33+E44+G55</f>
        <v>0</v>
      </c>
    </row>
    <row r="58" spans="1:7" x14ac:dyDescent="0.25">
      <c r="A58" s="107" t="s">
        <v>664</v>
      </c>
      <c r="B58" s="101"/>
      <c r="C58" s="117">
        <f>BackTaxes!$D$16</f>
        <v>0</v>
      </c>
      <c r="D58" s="35"/>
    </row>
    <row r="59" spans="1:7" x14ac:dyDescent="0.25">
      <c r="A59" s="107" t="s">
        <v>595</v>
      </c>
      <c r="B59" s="101"/>
      <c r="C59" s="117">
        <f>BackTaxes!$D$18</f>
        <v>0</v>
      </c>
      <c r="D59" s="35"/>
    </row>
    <row r="60" spans="1:7" x14ac:dyDescent="0.25">
      <c r="A60" s="107" t="s">
        <v>594</v>
      </c>
      <c r="B60" s="101"/>
      <c r="C60" s="117">
        <f>DebtSummary!$D$16</f>
        <v>0</v>
      </c>
      <c r="D60" s="35"/>
    </row>
    <row r="61" spans="1:7" x14ac:dyDescent="0.25">
      <c r="A61" s="25"/>
      <c r="B61" s="4"/>
      <c r="C61" s="4"/>
      <c r="D61" s="115"/>
    </row>
    <row r="62" spans="1:7" x14ac:dyDescent="0.25">
      <c r="A62" s="109" t="s">
        <v>601</v>
      </c>
      <c r="B62" s="4"/>
      <c r="C62" s="111"/>
      <c r="D62" s="115"/>
    </row>
    <row r="63" spans="1:7" x14ac:dyDescent="0.25">
      <c r="A63" s="109" t="s">
        <v>602</v>
      </c>
      <c r="B63" s="4"/>
      <c r="C63" s="111"/>
      <c r="D63" s="115"/>
    </row>
    <row r="64" spans="1:7" x14ac:dyDescent="0.25">
      <c r="A64" s="107" t="s">
        <v>593</v>
      </c>
      <c r="B64" s="4"/>
      <c r="C64" s="102">
        <f>DebtSummary!$D$15</f>
        <v>0</v>
      </c>
      <c r="D64" s="115"/>
    </row>
    <row r="65" spans="1:4" x14ac:dyDescent="0.25">
      <c r="A65" s="109" t="s">
        <v>603</v>
      </c>
      <c r="B65" s="4"/>
      <c r="C65" s="111"/>
      <c r="D65" s="115"/>
    </row>
    <row r="66" spans="1:4" x14ac:dyDescent="0.25">
      <c r="A66" s="109" t="s">
        <v>604</v>
      </c>
      <c r="B66" s="4"/>
      <c r="C66" s="111"/>
      <c r="D66" s="115"/>
    </row>
    <row r="67" spans="1:4" x14ac:dyDescent="0.25">
      <c r="A67" s="109" t="s">
        <v>605</v>
      </c>
      <c r="B67" s="4"/>
      <c r="C67" s="111"/>
      <c r="D67" s="115"/>
    </row>
    <row r="68" spans="1:4" x14ac:dyDescent="0.25">
      <c r="A68" s="109" t="s">
        <v>606</v>
      </c>
      <c r="B68" s="4"/>
      <c r="C68" s="111"/>
      <c r="D68" s="115"/>
    </row>
    <row r="69" spans="1:4" x14ac:dyDescent="0.25">
      <c r="A69" s="104"/>
      <c r="B69" s="4"/>
      <c r="C69" s="101"/>
      <c r="D69" s="115"/>
    </row>
    <row r="70" spans="1:4" x14ac:dyDescent="0.25">
      <c r="A70" s="104" t="s">
        <v>607</v>
      </c>
      <c r="B70" s="4"/>
      <c r="C70" s="112">
        <v>281</v>
      </c>
      <c r="D70" s="115"/>
    </row>
    <row r="71" spans="1:4" x14ac:dyDescent="0.25">
      <c r="A71" s="104"/>
      <c r="B71" s="4"/>
      <c r="C71" s="101"/>
      <c r="D71" s="115"/>
    </row>
    <row r="72" spans="1:4" x14ac:dyDescent="0.25">
      <c r="A72" s="104" t="s">
        <v>608</v>
      </c>
      <c r="B72" s="4"/>
      <c r="C72" s="28">
        <f>SUM(C57:C70)+E57</f>
        <v>281</v>
      </c>
      <c r="D72" s="115"/>
    </row>
    <row r="73" spans="1:4" x14ac:dyDescent="0.25">
      <c r="A73" s="104"/>
      <c r="B73" s="4"/>
      <c r="C73" s="101"/>
      <c r="D73" s="115"/>
    </row>
    <row r="74" spans="1:4" x14ac:dyDescent="0.25">
      <c r="A74" s="104" t="s">
        <v>609</v>
      </c>
      <c r="B74" s="4"/>
      <c r="C74" s="28">
        <f>IF(C72*0.15&gt;2750,2750,C72*0.15)</f>
        <v>42.15</v>
      </c>
      <c r="D74" s="115"/>
    </row>
    <row r="75" spans="1:4" x14ac:dyDescent="0.25">
      <c r="A75" s="104"/>
      <c r="B75" s="4"/>
      <c r="C75" s="101"/>
      <c r="D75" s="115"/>
    </row>
    <row r="76" spans="1:4" x14ac:dyDescent="0.25">
      <c r="A76" s="104" t="s">
        <v>610</v>
      </c>
      <c r="B76" s="4"/>
      <c r="C76" s="28">
        <f>SUM(C72:C74)</f>
        <v>323.14999999999998</v>
      </c>
      <c r="D76" s="115"/>
    </row>
    <row r="77" spans="1:4" x14ac:dyDescent="0.25">
      <c r="A77" s="104"/>
      <c r="B77" s="4"/>
      <c r="C77" s="101"/>
      <c r="D77" s="115"/>
    </row>
    <row r="78" spans="1:4" x14ac:dyDescent="0.25">
      <c r="A78" s="104" t="s">
        <v>611</v>
      </c>
      <c r="B78" s="4"/>
      <c r="C78" s="111">
        <v>0.05</v>
      </c>
      <c r="D78" s="115"/>
    </row>
    <row r="79" spans="1:4" x14ac:dyDescent="0.25">
      <c r="A79" s="104"/>
      <c r="B79" s="4"/>
      <c r="C79" s="101"/>
      <c r="D79" s="115"/>
    </row>
    <row r="80" spans="1:4" x14ac:dyDescent="0.25">
      <c r="A80" s="104" t="s">
        <v>612</v>
      </c>
      <c r="B80" s="4"/>
      <c r="C80" s="28">
        <f>C76*C78</f>
        <v>16.157499999999999</v>
      </c>
      <c r="D80" s="115"/>
    </row>
    <row r="81" spans="1:4" x14ac:dyDescent="0.25">
      <c r="A81" s="104"/>
      <c r="B81" s="4"/>
      <c r="C81" s="101"/>
      <c r="D81" s="115"/>
    </row>
    <row r="82" spans="1:4" x14ac:dyDescent="0.25">
      <c r="A82" s="104" t="s">
        <v>613</v>
      </c>
      <c r="B82" s="4"/>
      <c r="C82" s="28">
        <f>C76+C80</f>
        <v>339.3075</v>
      </c>
      <c r="D82" s="115"/>
    </row>
    <row r="83" spans="1:4" x14ac:dyDescent="0.25">
      <c r="A83" s="104"/>
      <c r="B83" s="4"/>
      <c r="C83" s="101"/>
      <c r="D83" s="115"/>
    </row>
    <row r="84" spans="1:4" x14ac:dyDescent="0.25">
      <c r="A84" s="104" t="s">
        <v>614</v>
      </c>
      <c r="B84" s="4"/>
      <c r="C84" s="111">
        <v>60</v>
      </c>
      <c r="D84" s="115"/>
    </row>
    <row r="85" spans="1:4" x14ac:dyDescent="0.25">
      <c r="A85" s="104"/>
      <c r="B85" s="4"/>
      <c r="C85" s="101"/>
      <c r="D85" s="115"/>
    </row>
    <row r="86" spans="1:4" x14ac:dyDescent="0.25">
      <c r="A86" s="104" t="s">
        <v>615</v>
      </c>
      <c r="B86" s="4"/>
      <c r="C86" s="28">
        <f>C82/C84</f>
        <v>5.655125</v>
      </c>
      <c r="D86" s="115"/>
    </row>
    <row r="87" spans="1:4" x14ac:dyDescent="0.25">
      <c r="A87" s="4"/>
      <c r="B87" s="4"/>
      <c r="C87" s="4"/>
      <c r="D87" s="115"/>
    </row>
    <row r="88" spans="1:4" x14ac:dyDescent="0.25">
      <c r="A88" s="4"/>
      <c r="B88" s="4"/>
      <c r="C88" s="4"/>
      <c r="D88" s="115"/>
    </row>
    <row r="89" spans="1:4" x14ac:dyDescent="0.25">
      <c r="A89" s="32" t="s">
        <v>616</v>
      </c>
      <c r="B89" s="4"/>
      <c r="C89" s="4"/>
      <c r="D89" s="115"/>
    </row>
    <row r="90" spans="1:4" x14ac:dyDescent="0.25">
      <c r="A90" s="4"/>
      <c r="B90" s="4"/>
      <c r="C90" s="4"/>
      <c r="D90" s="115"/>
    </row>
    <row r="91" spans="1:4" x14ac:dyDescent="0.25">
      <c r="A91" s="27" t="s">
        <v>305</v>
      </c>
      <c r="B91" s="102">
        <f>Income!J10</f>
        <v>0</v>
      </c>
      <c r="C91" s="4"/>
      <c r="D91" s="115"/>
    </row>
    <row r="92" spans="1:4" x14ac:dyDescent="0.25">
      <c r="A92" s="27" t="s">
        <v>306</v>
      </c>
      <c r="B92" s="102">
        <f>Income!J11</f>
        <v>0</v>
      </c>
      <c r="C92" s="4"/>
      <c r="D92" s="115"/>
    </row>
    <row r="93" spans="1:4" x14ac:dyDescent="0.25">
      <c r="A93" s="27" t="s">
        <v>307</v>
      </c>
      <c r="B93" s="102">
        <f>Income!J12</f>
        <v>0</v>
      </c>
      <c r="C93" s="4"/>
      <c r="D93" s="115"/>
    </row>
    <row r="94" spans="1:4" x14ac:dyDescent="0.25">
      <c r="A94" s="27" t="s">
        <v>308</v>
      </c>
      <c r="B94" s="102">
        <f>Income!J13</f>
        <v>0</v>
      </c>
      <c r="C94" s="4"/>
      <c r="D94" s="115"/>
    </row>
    <row r="95" spans="1:4" x14ac:dyDescent="0.25">
      <c r="A95" s="27" t="s">
        <v>309</v>
      </c>
      <c r="B95" s="102">
        <f>Income!J14</f>
        <v>0</v>
      </c>
      <c r="C95" s="4"/>
      <c r="D95" s="115"/>
    </row>
    <row r="96" spans="1:4" x14ac:dyDescent="0.25">
      <c r="A96" s="27" t="s">
        <v>310</v>
      </c>
      <c r="B96" s="102">
        <f>Income!J15</f>
        <v>0</v>
      </c>
      <c r="C96" s="4"/>
      <c r="D96" s="115"/>
    </row>
    <row r="97" spans="1:4" x14ac:dyDescent="0.25">
      <c r="A97" s="27" t="s">
        <v>311</v>
      </c>
      <c r="B97" s="102">
        <f>Income!J16</f>
        <v>0</v>
      </c>
      <c r="C97" s="4"/>
      <c r="D97" s="4"/>
    </row>
    <row r="98" spans="1:4" x14ac:dyDescent="0.25">
      <c r="A98" s="27" t="s">
        <v>312</v>
      </c>
      <c r="B98" s="102">
        <f>Income!J17</f>
        <v>0</v>
      </c>
      <c r="C98" s="4"/>
      <c r="D98" s="4"/>
    </row>
    <row r="99" spans="1:4" x14ac:dyDescent="0.25">
      <c r="A99" s="27" t="s">
        <v>313</v>
      </c>
      <c r="B99" s="102">
        <f>Income!J18</f>
        <v>0</v>
      </c>
      <c r="C99" s="4"/>
      <c r="D99" s="4"/>
    </row>
    <row r="100" spans="1:4" x14ac:dyDescent="0.25">
      <c r="A100" s="27" t="s">
        <v>314</v>
      </c>
      <c r="B100" s="102">
        <f>Income!J19</f>
        <v>0</v>
      </c>
      <c r="C100" s="4"/>
      <c r="D100" s="4"/>
    </row>
    <row r="101" spans="1:4" x14ac:dyDescent="0.25">
      <c r="A101" s="27" t="s">
        <v>321</v>
      </c>
      <c r="B101" s="102">
        <f>Income!J20</f>
        <v>0</v>
      </c>
      <c r="C101" s="4"/>
      <c r="D101" s="4"/>
    </row>
    <row r="102" spans="1:4" x14ac:dyDescent="0.25">
      <c r="A102" s="27" t="s">
        <v>320</v>
      </c>
      <c r="B102" s="102">
        <f>Income!J21</f>
        <v>0</v>
      </c>
      <c r="C102" s="4"/>
      <c r="D102" s="4"/>
    </row>
    <row r="103" spans="1:4" x14ac:dyDescent="0.25">
      <c r="A103" s="27" t="s">
        <v>315</v>
      </c>
      <c r="B103" s="102">
        <f>Income!J22</f>
        <v>0</v>
      </c>
      <c r="C103" s="4"/>
      <c r="D103" s="4"/>
    </row>
    <row r="104" spans="1:4" x14ac:dyDescent="0.25">
      <c r="A104" s="27" t="s">
        <v>316</v>
      </c>
      <c r="B104" s="18">
        <f>Income!J23</f>
        <v>0</v>
      </c>
      <c r="C104" s="4"/>
      <c r="D104" s="4"/>
    </row>
    <row r="105" spans="1:4" x14ac:dyDescent="0.25">
      <c r="A105" s="4"/>
      <c r="B105" s="4"/>
      <c r="C105" s="4"/>
      <c r="D105" s="4"/>
    </row>
    <row r="106" spans="1:4" x14ac:dyDescent="0.25">
      <c r="A106" s="25" t="s">
        <v>617</v>
      </c>
      <c r="B106" s="4"/>
      <c r="C106" s="4"/>
      <c r="D106" s="28">
        <f>SUM(B91:B104)</f>
        <v>0</v>
      </c>
    </row>
    <row r="107" spans="1:4" x14ac:dyDescent="0.25">
      <c r="A107" s="4"/>
      <c r="B107" s="4"/>
      <c r="C107" s="4"/>
      <c r="D107" s="4"/>
    </row>
    <row r="108" spans="1:4" x14ac:dyDescent="0.25">
      <c r="A108" s="4"/>
      <c r="B108" s="4"/>
      <c r="C108" s="4"/>
      <c r="D108" s="4"/>
    </row>
    <row r="109" spans="1:4" x14ac:dyDescent="0.25">
      <c r="A109" s="32" t="s">
        <v>618</v>
      </c>
      <c r="B109" s="4"/>
      <c r="C109" s="4"/>
      <c r="D109" s="4"/>
    </row>
    <row r="110" spans="1:4" x14ac:dyDescent="0.25">
      <c r="A110" s="4"/>
      <c r="B110" s="4"/>
      <c r="C110" s="4"/>
      <c r="D110" s="4"/>
    </row>
    <row r="111" spans="1:4" x14ac:dyDescent="0.25">
      <c r="A111" s="110" t="s">
        <v>65</v>
      </c>
      <c r="B111" s="18">
        <f>Expenses!$D$15</f>
        <v>0</v>
      </c>
      <c r="C111" s="35"/>
      <c r="D111" s="4"/>
    </row>
    <row r="112" spans="1:4" x14ac:dyDescent="0.25">
      <c r="A112" s="120" t="str">
        <f>RealProperty!$C$66</f>
        <v xml:space="preserve"> </v>
      </c>
      <c r="B112" s="116">
        <f>RealProperty!Q66</f>
        <v>0</v>
      </c>
      <c r="C112" s="115"/>
      <c r="D112" s="4"/>
    </row>
    <row r="113" spans="1:4" x14ac:dyDescent="0.25">
      <c r="A113" s="120" t="str">
        <f>RealProperty!$C$67</f>
        <v xml:space="preserve"> </v>
      </c>
      <c r="B113" s="116">
        <f>RealProperty!Q67</f>
        <v>0</v>
      </c>
      <c r="C113" s="115"/>
      <c r="D113" s="4"/>
    </row>
    <row r="114" spans="1:4" x14ac:dyDescent="0.25">
      <c r="A114" s="120" t="str">
        <f>RealProperty!$C$68</f>
        <v xml:space="preserve"> </v>
      </c>
      <c r="B114" s="116">
        <f>RealProperty!Q68</f>
        <v>0</v>
      </c>
      <c r="C114" s="115"/>
      <c r="D114" s="4"/>
    </row>
    <row r="115" spans="1:4" x14ac:dyDescent="0.25">
      <c r="A115" s="120" t="str">
        <f>RealProperty!$C$69</f>
        <v xml:space="preserve"> </v>
      </c>
      <c r="B115" s="116">
        <f>RealProperty!Q69</f>
        <v>0</v>
      </c>
      <c r="C115" s="115"/>
      <c r="D115" s="4"/>
    </row>
    <row r="116" spans="1:4" x14ac:dyDescent="0.25">
      <c r="A116" s="120" t="str">
        <f>RealProperty!$C$70</f>
        <v xml:space="preserve"> </v>
      </c>
      <c r="B116" s="116">
        <f>RealProperty!Q70</f>
        <v>0</v>
      </c>
      <c r="C116" s="115"/>
      <c r="D116" s="4"/>
    </row>
    <row r="117" spans="1:4" x14ac:dyDescent="0.25">
      <c r="A117" s="120" t="str">
        <f>RealProperty!$C$71</f>
        <v xml:space="preserve"> </v>
      </c>
      <c r="B117" s="117">
        <f>RealProperty!Q71</f>
        <v>0</v>
      </c>
      <c r="C117" s="115"/>
      <c r="D117" s="4"/>
    </row>
    <row r="118" spans="1:4" x14ac:dyDescent="0.25">
      <c r="A118" s="120" t="str">
        <f>RealProperty!$C$72</f>
        <v xml:space="preserve"> </v>
      </c>
      <c r="B118" s="117">
        <f>RealProperty!Q72</f>
        <v>0</v>
      </c>
      <c r="C118" s="115"/>
      <c r="D118" s="4"/>
    </row>
    <row r="119" spans="1:4" x14ac:dyDescent="0.25">
      <c r="A119" s="120" t="str">
        <f>RealProperty!$C$73</f>
        <v xml:space="preserve"> </v>
      </c>
      <c r="B119" s="117">
        <f>RealProperty!Q73</f>
        <v>0</v>
      </c>
      <c r="C119" s="115"/>
      <c r="D119" s="25"/>
    </row>
    <row r="120" spans="1:4" x14ac:dyDescent="0.25">
      <c r="A120" s="120" t="str">
        <f>RealProperty!$C$74</f>
        <v xml:space="preserve"> </v>
      </c>
      <c r="B120" s="117">
        <f>RealProperty!Q74</f>
        <v>0</v>
      </c>
      <c r="C120" s="115"/>
      <c r="D120" s="25"/>
    </row>
    <row r="121" spans="1:4" x14ac:dyDescent="0.25">
      <c r="A121" s="120" t="str">
        <f>RealProperty!$C$75</f>
        <v xml:space="preserve"> </v>
      </c>
      <c r="B121" s="117">
        <f>RealProperty!Q75</f>
        <v>0</v>
      </c>
      <c r="C121" s="115"/>
      <c r="D121" s="25"/>
    </row>
    <row r="122" spans="1:4" x14ac:dyDescent="0.25">
      <c r="A122" s="105" t="s">
        <v>619</v>
      </c>
      <c r="B122" s="102">
        <f>Expenses!D16</f>
        <v>0</v>
      </c>
      <c r="C122" s="115"/>
      <c r="D122" s="4"/>
    </row>
    <row r="123" spans="1:4" x14ac:dyDescent="0.25">
      <c r="A123" s="105" t="s">
        <v>620</v>
      </c>
      <c r="B123" s="102">
        <f>Expenses!D17</f>
        <v>0</v>
      </c>
      <c r="C123" s="115"/>
      <c r="D123" s="4"/>
    </row>
    <row r="124" spans="1:4" x14ac:dyDescent="0.25">
      <c r="A124" s="105" t="s">
        <v>621</v>
      </c>
      <c r="B124" s="102">
        <f>Expenses!D18</f>
        <v>0</v>
      </c>
      <c r="C124" s="115"/>
      <c r="D124" s="4"/>
    </row>
    <row r="125" spans="1:4" x14ac:dyDescent="0.25">
      <c r="A125" s="105" t="s">
        <v>622</v>
      </c>
      <c r="B125" s="102">
        <f>Expenses!D19</f>
        <v>0</v>
      </c>
      <c r="C125" s="115"/>
      <c r="D125" s="4"/>
    </row>
    <row r="126" spans="1:4" x14ac:dyDescent="0.25">
      <c r="A126" s="105" t="s">
        <v>623</v>
      </c>
      <c r="B126" s="102">
        <f>Expenses!D20</f>
        <v>0</v>
      </c>
      <c r="C126" s="115"/>
      <c r="D126" s="4"/>
    </row>
    <row r="127" spans="1:4" x14ac:dyDescent="0.25">
      <c r="A127" s="105" t="s">
        <v>59</v>
      </c>
      <c r="B127" s="102">
        <f>Expenses!D21</f>
        <v>0</v>
      </c>
      <c r="C127" s="115"/>
      <c r="D127" s="4"/>
    </row>
    <row r="128" spans="1:4" x14ac:dyDescent="0.25">
      <c r="A128" s="105" t="s">
        <v>58</v>
      </c>
      <c r="B128" s="102">
        <f>Expenses!D22</f>
        <v>0</v>
      </c>
      <c r="C128" s="115"/>
      <c r="D128" s="4"/>
    </row>
    <row r="129" spans="1:4" x14ac:dyDescent="0.25">
      <c r="A129" s="105" t="s">
        <v>624</v>
      </c>
      <c r="B129" s="102">
        <f>Expenses!D23</f>
        <v>0</v>
      </c>
      <c r="C129" s="115"/>
      <c r="D129" s="4"/>
    </row>
    <row r="130" spans="1:4" x14ac:dyDescent="0.25">
      <c r="A130" s="105" t="s">
        <v>625</v>
      </c>
      <c r="B130" s="102">
        <f>Expenses!D24</f>
        <v>0</v>
      </c>
      <c r="C130" s="115"/>
      <c r="D130" s="4"/>
    </row>
    <row r="131" spans="1:4" x14ac:dyDescent="0.25">
      <c r="A131" s="105" t="s">
        <v>55</v>
      </c>
      <c r="B131" s="102">
        <f>Expenses!D25</f>
        <v>0</v>
      </c>
      <c r="C131" s="115"/>
      <c r="D131" s="4"/>
    </row>
    <row r="132" spans="1:4" x14ac:dyDescent="0.25">
      <c r="A132" s="105" t="s">
        <v>626</v>
      </c>
      <c r="B132" s="4"/>
      <c r="C132" s="115"/>
      <c r="D132" s="4"/>
    </row>
    <row r="133" spans="1:4" x14ac:dyDescent="0.25">
      <c r="A133" s="105" t="s">
        <v>627</v>
      </c>
      <c r="B133" s="102">
        <f>Expenses!D26</f>
        <v>0</v>
      </c>
      <c r="C133" s="115"/>
      <c r="D133" s="4"/>
    </row>
    <row r="134" spans="1:4" x14ac:dyDescent="0.25">
      <c r="A134" s="105" t="s">
        <v>628</v>
      </c>
      <c r="B134" s="102">
        <f>Expenses!D27</f>
        <v>0</v>
      </c>
      <c r="C134" s="115"/>
      <c r="D134" s="4"/>
    </row>
    <row r="135" spans="1:4" x14ac:dyDescent="0.25">
      <c r="A135" s="105" t="s">
        <v>629</v>
      </c>
      <c r="B135" s="102">
        <f>Expenses!D28</f>
        <v>0</v>
      </c>
      <c r="C135" s="115"/>
      <c r="D135" s="4"/>
    </row>
    <row r="136" spans="1:4" x14ac:dyDescent="0.25">
      <c r="A136" s="105" t="s">
        <v>630</v>
      </c>
      <c r="B136" s="101"/>
      <c r="C136" s="115"/>
      <c r="D136" s="4"/>
    </row>
    <row r="137" spans="1:4" x14ac:dyDescent="0.25">
      <c r="A137" s="105" t="s">
        <v>631</v>
      </c>
      <c r="B137" s="102">
        <f>Expenses!$D$29</f>
        <v>0</v>
      </c>
      <c r="C137" s="115"/>
      <c r="D137" s="4"/>
    </row>
    <row r="138" spans="1:4" x14ac:dyDescent="0.25">
      <c r="A138" s="105" t="s">
        <v>632</v>
      </c>
      <c r="B138" s="101"/>
      <c r="C138" s="115"/>
      <c r="D138" s="4"/>
    </row>
    <row r="139" spans="1:4" x14ac:dyDescent="0.25">
      <c r="A139" s="105" t="s">
        <v>633</v>
      </c>
      <c r="B139" s="102">
        <f>Expenses!D30</f>
        <v>0</v>
      </c>
      <c r="C139" s="115"/>
      <c r="D139" s="4"/>
    </row>
    <row r="140" spans="1:4" x14ac:dyDescent="0.25">
      <c r="A140" s="105" t="s">
        <v>634</v>
      </c>
      <c r="B140" s="102">
        <f>Expenses!D31</f>
        <v>0</v>
      </c>
      <c r="C140" s="115"/>
      <c r="D140" s="4"/>
    </row>
    <row r="141" spans="1:4" x14ac:dyDescent="0.25">
      <c r="A141" s="105" t="s">
        <v>635</v>
      </c>
      <c r="B141" s="117">
        <f>Expenses!$D$32</f>
        <v>0</v>
      </c>
      <c r="C141" s="4"/>
      <c r="D141" s="4"/>
    </row>
    <row r="142" spans="1:4" x14ac:dyDescent="0.25">
      <c r="A142" s="105" t="s">
        <v>636</v>
      </c>
      <c r="B142" s="101"/>
      <c r="C142" s="4"/>
      <c r="D142" s="4"/>
    </row>
    <row r="143" spans="1:4" x14ac:dyDescent="0.25">
      <c r="A143" s="105" t="s">
        <v>637</v>
      </c>
      <c r="B143" s="102">
        <f>Expenses!$D$34</f>
        <v>0</v>
      </c>
      <c r="C143" s="4"/>
      <c r="D143" s="4"/>
    </row>
    <row r="144" spans="1:4" x14ac:dyDescent="0.25">
      <c r="A144" s="105" t="s">
        <v>638</v>
      </c>
      <c r="B144" s="114"/>
      <c r="C144" s="4"/>
      <c r="D144" s="4"/>
    </row>
    <row r="145" spans="1:4" x14ac:dyDescent="0.25">
      <c r="A145" s="105" t="s">
        <v>639</v>
      </c>
      <c r="B145" s="101"/>
      <c r="C145" s="4"/>
      <c r="D145" s="4"/>
    </row>
    <row r="146" spans="1:4" x14ac:dyDescent="0.25">
      <c r="A146" s="105" t="s">
        <v>640</v>
      </c>
      <c r="B146" s="114"/>
      <c r="C146" s="4"/>
      <c r="D146" s="4"/>
    </row>
    <row r="147" spans="1:4" x14ac:dyDescent="0.25">
      <c r="A147" s="105" t="s">
        <v>641</v>
      </c>
      <c r="B147" s="101"/>
      <c r="C147" s="4"/>
      <c r="D147" s="4"/>
    </row>
    <row r="148" spans="1:4" x14ac:dyDescent="0.25">
      <c r="A148" s="105" t="s">
        <v>642</v>
      </c>
      <c r="B148" s="102">
        <f>Expenses!D37</f>
        <v>0</v>
      </c>
      <c r="C148" s="4"/>
      <c r="D148" s="4"/>
    </row>
    <row r="149" spans="1:4" x14ac:dyDescent="0.25">
      <c r="A149" s="105" t="s">
        <v>643</v>
      </c>
      <c r="C149" s="4"/>
      <c r="D149" s="4"/>
    </row>
    <row r="150" spans="1:4" x14ac:dyDescent="0.25">
      <c r="A150" s="105" t="s">
        <v>644</v>
      </c>
      <c r="B150" s="117">
        <f>Expenses!D38</f>
        <v>0</v>
      </c>
      <c r="C150" s="4"/>
      <c r="D150" s="4"/>
    </row>
    <row r="151" spans="1:4" x14ac:dyDescent="0.25">
      <c r="A151" s="105" t="s">
        <v>645</v>
      </c>
      <c r="C151" s="4"/>
      <c r="D151" s="4"/>
    </row>
    <row r="152" spans="1:4" x14ac:dyDescent="0.25">
      <c r="A152" s="105" t="s">
        <v>646</v>
      </c>
      <c r="B152" s="101"/>
      <c r="C152" s="4"/>
      <c r="D152" s="4"/>
    </row>
    <row r="153" spans="1:4" x14ac:dyDescent="0.25">
      <c r="A153" s="105" t="s">
        <v>647</v>
      </c>
      <c r="B153" s="102">
        <f>Expenses!D39</f>
        <v>0</v>
      </c>
      <c r="C153" s="4"/>
      <c r="D153" s="4"/>
    </row>
    <row r="154" spans="1:4" x14ac:dyDescent="0.25">
      <c r="A154" s="105" t="s">
        <v>648</v>
      </c>
      <c r="B154" s="117">
        <f>Expenses!D40</f>
        <v>0</v>
      </c>
      <c r="C154" s="4"/>
      <c r="D154" s="4"/>
    </row>
    <row r="155" spans="1:4" x14ac:dyDescent="0.25">
      <c r="A155" s="4"/>
      <c r="B155" s="101"/>
      <c r="C155" s="4"/>
      <c r="D155" s="4"/>
    </row>
    <row r="156" spans="1:4" x14ac:dyDescent="0.25">
      <c r="A156" s="25" t="s">
        <v>661</v>
      </c>
      <c r="B156" s="118"/>
      <c r="C156" s="4"/>
      <c r="D156" s="4"/>
    </row>
    <row r="157" spans="1:4" x14ac:dyDescent="0.25">
      <c r="A157" s="4"/>
      <c r="B157" s="4"/>
      <c r="C157" s="4"/>
      <c r="D157" s="4"/>
    </row>
    <row r="158" spans="1:4" x14ac:dyDescent="0.25">
      <c r="A158" s="25" t="s">
        <v>649</v>
      </c>
      <c r="B158" s="4"/>
      <c r="C158" s="4"/>
      <c r="D158" s="28">
        <f>SUM(B111:B156)</f>
        <v>0</v>
      </c>
    </row>
    <row r="159" spans="1:4" x14ac:dyDescent="0.25">
      <c r="A159" s="4"/>
      <c r="B159" s="4"/>
      <c r="C159" s="4"/>
      <c r="D159" s="4"/>
    </row>
    <row r="160" spans="1:4" x14ac:dyDescent="0.25">
      <c r="A160" s="25" t="s">
        <v>650</v>
      </c>
      <c r="B160" s="4"/>
      <c r="C160" s="4"/>
      <c r="D160" s="28">
        <f>D106-D158</f>
        <v>0</v>
      </c>
    </row>
    <row r="161" spans="1:4" x14ac:dyDescent="0.25">
      <c r="A161" s="25"/>
      <c r="B161" s="4"/>
      <c r="C161" s="4"/>
      <c r="D161" s="4"/>
    </row>
    <row r="162" spans="1:4" x14ac:dyDescent="0.25">
      <c r="A162" s="25" t="s">
        <v>651</v>
      </c>
      <c r="B162" s="4"/>
      <c r="C162" s="4"/>
      <c r="D162" s="102">
        <f>$C$86</f>
        <v>5.655125</v>
      </c>
    </row>
    <row r="163" spans="1:4" x14ac:dyDescent="0.25">
      <c r="A163" s="25"/>
      <c r="B163" s="4"/>
      <c r="C163" s="4"/>
      <c r="D163" s="4"/>
    </row>
    <row r="164" spans="1:4" x14ac:dyDescent="0.25">
      <c r="A164" s="25" t="s">
        <v>652</v>
      </c>
      <c r="B164" s="4"/>
      <c r="C164" s="102">
        <f>$CB$3</f>
        <v>0</v>
      </c>
      <c r="D164" s="4"/>
    </row>
    <row r="165" spans="1:4" x14ac:dyDescent="0.25">
      <c r="A165" s="25" t="s">
        <v>653</v>
      </c>
      <c r="B165" s="4"/>
      <c r="C165" s="102">
        <f>$CB$4</f>
        <v>0</v>
      </c>
      <c r="D165" s="4"/>
    </row>
    <row r="166" spans="1:4" x14ac:dyDescent="0.25">
      <c r="A166" s="25" t="s">
        <v>654</v>
      </c>
      <c r="B166" s="4"/>
      <c r="C166" s="102">
        <f>$CB$5</f>
        <v>0</v>
      </c>
      <c r="D166" s="4"/>
    </row>
    <row r="167" spans="1:4" x14ac:dyDescent="0.25">
      <c r="A167" s="25" t="s">
        <v>655</v>
      </c>
      <c r="B167" s="4"/>
      <c r="C167" s="102">
        <f>$CB$6</f>
        <v>0</v>
      </c>
      <c r="D167" s="4"/>
    </row>
    <row r="168" spans="1:4" x14ac:dyDescent="0.25">
      <c r="A168" s="25" t="s">
        <v>656</v>
      </c>
      <c r="B168" s="4"/>
      <c r="C168" s="102">
        <f>$CB$7</f>
        <v>0</v>
      </c>
      <c r="D168" s="4"/>
    </row>
    <row r="169" spans="1:4" x14ac:dyDescent="0.25">
      <c r="A169" s="25"/>
      <c r="B169" s="4"/>
      <c r="C169" s="4"/>
      <c r="D169" s="4"/>
    </row>
    <row r="170" spans="1:4" x14ac:dyDescent="0.25">
      <c r="A170" s="25" t="s">
        <v>657</v>
      </c>
      <c r="B170" s="4"/>
      <c r="C170" s="111"/>
      <c r="D170" s="4"/>
    </row>
    <row r="171" spans="1:4" x14ac:dyDescent="0.25">
      <c r="A171" s="25"/>
      <c r="B171" s="4"/>
      <c r="C171" s="4"/>
      <c r="D171" s="4"/>
    </row>
    <row r="172" spans="1:4" x14ac:dyDescent="0.25">
      <c r="A172" s="25" t="s">
        <v>658</v>
      </c>
      <c r="B172" s="4"/>
      <c r="C172" s="111"/>
      <c r="D172" s="4"/>
    </row>
    <row r="173" spans="1:4" x14ac:dyDescent="0.25">
      <c r="A173" s="25"/>
      <c r="B173" s="4"/>
      <c r="C173" s="4"/>
      <c r="D173" s="4"/>
    </row>
    <row r="174" spans="1:4" x14ac:dyDescent="0.25">
      <c r="A174" s="25" t="s">
        <v>659</v>
      </c>
      <c r="B174" s="4"/>
      <c r="C174" s="111"/>
      <c r="D174" s="4"/>
    </row>
    <row r="175" spans="1:4" x14ac:dyDescent="0.25">
      <c r="A175" s="4"/>
      <c r="B175" s="4"/>
      <c r="C175" s="4"/>
      <c r="D175" s="4"/>
    </row>
    <row r="176" spans="1:4" x14ac:dyDescent="0.25">
      <c r="A176" s="4"/>
      <c r="B176" s="4"/>
      <c r="C176" s="4"/>
      <c r="D176" s="4"/>
    </row>
    <row r="177" spans="1:4" x14ac:dyDescent="0.25">
      <c r="A177" s="4"/>
      <c r="B177" s="4"/>
      <c r="C177" s="4"/>
      <c r="D177" s="4"/>
    </row>
  </sheetData>
  <conditionalFormatting sqref="D14 D16 D21 D26 D31 E46 C111 D56:D60">
    <cfRule type="cellIs" dxfId="1" priority="12" stopIfTrue="1" operator="equal">
      <formula>"SURRENDER"</formula>
    </cfRule>
  </conditionalFormatting>
  <conditionalFormatting sqref="E47:E55">
    <cfRule type="cellIs" dxfId="0" priority="1" stopIfTrue="1" operator="equal">
      <formula>"SURRENDER"</formula>
    </cfRule>
  </conditionalFormatting>
  <dataValidations count="1">
    <dataValidation type="list" allowBlank="1" showInputMessage="1" showErrorMessage="1" sqref="F46:F55">
      <formula1>$K$47:$K$48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AnalysisMenu">
                <anchor moveWithCells="1">
                  <from>
                    <xdr:col>1</xdr:col>
                    <xdr:colOff>447675</xdr:colOff>
                    <xdr:row>2</xdr:row>
                    <xdr:rowOff>114300</xdr:rowOff>
                  </from>
                  <to>
                    <xdr:col>2</xdr:col>
                    <xdr:colOff>628650</xdr:colOff>
                    <xdr:row>3</xdr:row>
                    <xdr:rowOff>161925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C6:T43"/>
  <sheetViews>
    <sheetView workbookViewId="0">
      <selection activeCell="C6" sqref="C6"/>
    </sheetView>
  </sheetViews>
  <sheetFormatPr defaultRowHeight="15" x14ac:dyDescent="0.25"/>
  <sheetData>
    <row r="6" spans="3:20" x14ac:dyDescent="0.25">
      <c r="C6" s="11"/>
      <c r="D6" s="11"/>
      <c r="E6" s="11"/>
      <c r="F6" s="11"/>
      <c r="G6" s="11"/>
      <c r="H6" s="11"/>
      <c r="I6" s="11"/>
      <c r="J6" s="11"/>
      <c r="K6" s="11"/>
      <c r="L6" s="11"/>
      <c r="M6" s="11"/>
      <c r="N6" s="11"/>
      <c r="O6" s="11"/>
      <c r="P6" s="11"/>
      <c r="Q6" s="11"/>
      <c r="R6" s="11"/>
      <c r="S6" s="11"/>
      <c r="T6" s="11"/>
    </row>
    <row r="7" spans="3:20" x14ac:dyDescent="0.25">
      <c r="C7" s="11"/>
      <c r="D7" s="11"/>
      <c r="E7" s="11"/>
      <c r="F7" s="11"/>
      <c r="G7" s="11"/>
      <c r="H7" s="11"/>
      <c r="I7" s="11"/>
      <c r="J7" s="11"/>
      <c r="K7" s="11"/>
      <c r="L7" s="11"/>
      <c r="M7" s="11"/>
      <c r="N7" s="11"/>
      <c r="O7" s="11"/>
      <c r="P7" s="11"/>
      <c r="Q7" s="11"/>
      <c r="R7" s="11"/>
      <c r="S7" s="11"/>
      <c r="T7" s="11"/>
    </row>
    <row r="8" spans="3:20" x14ac:dyDescent="0.25">
      <c r="C8" s="11"/>
      <c r="D8" s="11"/>
      <c r="E8" s="11"/>
      <c r="F8" s="11"/>
      <c r="G8" s="11"/>
      <c r="H8" s="11"/>
      <c r="I8" s="11"/>
      <c r="J8" s="11"/>
      <c r="K8" s="11"/>
      <c r="L8" s="11"/>
      <c r="M8" s="11"/>
      <c r="N8" s="11"/>
      <c r="O8" s="11"/>
      <c r="P8" s="11"/>
      <c r="Q8" s="11"/>
      <c r="R8" s="11"/>
      <c r="S8" s="11"/>
      <c r="T8" s="11"/>
    </row>
    <row r="9" spans="3:20" x14ac:dyDescent="0.25">
      <c r="C9" s="11"/>
      <c r="D9" s="11"/>
      <c r="E9" s="11"/>
      <c r="F9" s="11"/>
      <c r="G9" s="11"/>
      <c r="H9" s="11"/>
      <c r="I9" s="11"/>
      <c r="J9" s="11"/>
      <c r="K9" s="11"/>
      <c r="L9" s="11"/>
      <c r="M9" s="11"/>
      <c r="N9" s="11"/>
      <c r="O9" s="11"/>
      <c r="P9" s="11"/>
      <c r="Q9" s="11"/>
      <c r="R9" s="11"/>
      <c r="S9" s="11"/>
      <c r="T9" s="11"/>
    </row>
    <row r="10" spans="3:20" x14ac:dyDescent="0.25">
      <c r="C10" s="11"/>
      <c r="D10" s="11"/>
      <c r="E10" s="11"/>
      <c r="F10" s="11"/>
      <c r="G10" s="11"/>
      <c r="H10" s="11"/>
      <c r="I10" s="11"/>
      <c r="J10" s="11"/>
      <c r="K10" s="11"/>
      <c r="L10" s="11"/>
      <c r="M10" s="11"/>
      <c r="N10" s="11"/>
      <c r="O10" s="11"/>
      <c r="P10" s="11"/>
      <c r="Q10" s="11"/>
      <c r="R10" s="11"/>
      <c r="S10" s="11"/>
      <c r="T10" s="11"/>
    </row>
    <row r="11" spans="3:20" x14ac:dyDescent="0.25">
      <c r="C11" s="11"/>
      <c r="D11" s="11"/>
      <c r="E11" s="11"/>
      <c r="F11" s="11"/>
      <c r="G11" s="11"/>
      <c r="H11" s="11"/>
      <c r="I11" s="11"/>
      <c r="J11" s="11"/>
      <c r="K11" s="11"/>
      <c r="L11" s="11"/>
      <c r="M11" s="11"/>
      <c r="N11" s="11"/>
      <c r="O11" s="11"/>
      <c r="P11" s="11"/>
      <c r="Q11" s="11"/>
      <c r="R11" s="11"/>
      <c r="S11" s="11"/>
      <c r="T11" s="11"/>
    </row>
    <row r="12" spans="3:20" x14ac:dyDescent="0.25">
      <c r="C12" s="11"/>
      <c r="D12" s="11"/>
      <c r="E12" s="11"/>
      <c r="F12" s="11"/>
      <c r="G12" s="11"/>
      <c r="H12" s="11"/>
      <c r="I12" s="11"/>
      <c r="J12" s="11"/>
      <c r="K12" s="11"/>
      <c r="L12" s="11"/>
      <c r="M12" s="11"/>
      <c r="N12" s="11"/>
      <c r="O12" s="11"/>
      <c r="P12" s="11"/>
      <c r="Q12" s="11"/>
      <c r="R12" s="11"/>
      <c r="S12" s="11"/>
      <c r="T12" s="11"/>
    </row>
    <row r="13" spans="3:20" x14ac:dyDescent="0.25">
      <c r="C13" s="11"/>
      <c r="D13" s="11"/>
      <c r="E13" s="11"/>
      <c r="F13" s="11"/>
      <c r="G13" s="11"/>
      <c r="H13" s="11"/>
      <c r="I13" s="11"/>
      <c r="J13" s="11"/>
      <c r="K13" s="11"/>
      <c r="L13" s="11"/>
      <c r="M13" s="11"/>
      <c r="N13" s="11"/>
      <c r="O13" s="11"/>
      <c r="P13" s="11"/>
      <c r="Q13" s="11"/>
      <c r="R13" s="11"/>
      <c r="S13" s="11"/>
      <c r="T13" s="11"/>
    </row>
    <row r="14" spans="3:20" x14ac:dyDescent="0.25">
      <c r="C14" s="11"/>
      <c r="D14" s="11"/>
      <c r="E14" s="11"/>
      <c r="F14" s="11"/>
      <c r="G14" s="11"/>
      <c r="H14" s="11"/>
      <c r="I14" s="11"/>
      <c r="J14" s="11"/>
      <c r="K14" s="11"/>
      <c r="L14" s="11"/>
      <c r="M14" s="11"/>
      <c r="N14" s="11"/>
      <c r="O14" s="11"/>
      <c r="P14" s="11"/>
      <c r="Q14" s="11"/>
      <c r="R14" s="11"/>
      <c r="S14" s="11"/>
      <c r="T14" s="11"/>
    </row>
    <row r="15" spans="3:20" x14ac:dyDescent="0.25">
      <c r="C15" s="11"/>
      <c r="D15" s="11"/>
      <c r="E15" s="11"/>
      <c r="F15" s="11"/>
      <c r="G15" s="11"/>
      <c r="H15" s="11"/>
      <c r="I15" s="11"/>
      <c r="J15" s="11"/>
      <c r="K15" s="11"/>
      <c r="L15" s="11"/>
      <c r="M15" s="11"/>
      <c r="N15" s="11"/>
      <c r="O15" s="11"/>
      <c r="P15" s="11"/>
      <c r="Q15" s="11"/>
      <c r="R15" s="11"/>
      <c r="S15" s="11"/>
      <c r="T15" s="11"/>
    </row>
    <row r="16" spans="3:20" x14ac:dyDescent="0.25">
      <c r="C16" s="11"/>
      <c r="D16" s="11"/>
      <c r="E16" s="11"/>
      <c r="F16" s="11"/>
      <c r="G16" s="11"/>
      <c r="H16" s="11"/>
      <c r="I16" s="11"/>
      <c r="J16" s="11"/>
      <c r="K16" s="11"/>
      <c r="L16" s="11"/>
      <c r="M16" s="11"/>
      <c r="N16" s="11"/>
      <c r="O16" s="11"/>
      <c r="P16" s="11"/>
      <c r="Q16" s="11"/>
      <c r="R16" s="11"/>
      <c r="S16" s="11"/>
      <c r="T16" s="11"/>
    </row>
    <row r="17" spans="3:20" x14ac:dyDescent="0.25">
      <c r="C17" s="11"/>
      <c r="D17" s="11"/>
      <c r="E17" s="11"/>
      <c r="F17" s="11"/>
      <c r="G17" s="11"/>
      <c r="H17" s="11"/>
      <c r="I17" s="11"/>
      <c r="J17" s="11"/>
      <c r="K17" s="11"/>
      <c r="L17" s="11"/>
      <c r="M17" s="11"/>
      <c r="N17" s="11"/>
      <c r="O17" s="11"/>
      <c r="P17" s="11"/>
      <c r="Q17" s="11"/>
      <c r="R17" s="11"/>
      <c r="S17" s="11"/>
      <c r="T17" s="11"/>
    </row>
    <row r="18" spans="3:20" x14ac:dyDescent="0.25">
      <c r="C18" s="11"/>
      <c r="D18" s="11"/>
      <c r="E18" s="11"/>
      <c r="F18" s="11"/>
      <c r="G18" s="11"/>
      <c r="H18" s="11"/>
      <c r="I18" s="11"/>
      <c r="J18" s="11"/>
      <c r="K18" s="11"/>
      <c r="L18" s="11"/>
      <c r="M18" s="11"/>
      <c r="N18" s="11"/>
      <c r="O18" s="11"/>
      <c r="P18" s="11"/>
      <c r="Q18" s="11"/>
      <c r="R18" s="11"/>
      <c r="S18" s="11"/>
      <c r="T18" s="11"/>
    </row>
    <row r="19" spans="3:20" x14ac:dyDescent="0.25">
      <c r="C19" s="11"/>
      <c r="D19" s="11"/>
      <c r="E19" s="11"/>
      <c r="F19" s="11"/>
      <c r="G19" s="11"/>
      <c r="H19" s="11"/>
      <c r="I19" s="11"/>
      <c r="J19" s="11"/>
      <c r="K19" s="11"/>
      <c r="L19" s="11"/>
      <c r="M19" s="11"/>
      <c r="N19" s="11"/>
      <c r="O19" s="11"/>
      <c r="P19" s="11"/>
      <c r="Q19" s="11"/>
      <c r="R19" s="11"/>
      <c r="S19" s="11"/>
      <c r="T19" s="11"/>
    </row>
    <row r="20" spans="3:20" x14ac:dyDescent="0.25">
      <c r="C20" s="11"/>
      <c r="D20" s="11"/>
      <c r="E20" s="11"/>
      <c r="F20" s="11"/>
      <c r="G20" s="11"/>
      <c r="H20" s="11"/>
      <c r="I20" s="11"/>
      <c r="J20" s="11"/>
      <c r="K20" s="11"/>
      <c r="L20" s="11"/>
      <c r="M20" s="11"/>
      <c r="N20" s="11"/>
      <c r="O20" s="11"/>
      <c r="P20" s="11"/>
      <c r="Q20" s="11"/>
      <c r="R20" s="11"/>
      <c r="S20" s="11"/>
      <c r="T20" s="11"/>
    </row>
    <row r="21" spans="3:20" x14ac:dyDescent="0.25">
      <c r="C21" s="11"/>
      <c r="D21" s="11"/>
      <c r="E21" s="11"/>
      <c r="F21" s="11"/>
      <c r="G21" s="11"/>
      <c r="H21" s="11"/>
      <c r="I21" s="11"/>
      <c r="J21" s="11"/>
      <c r="K21" s="11"/>
      <c r="L21" s="11"/>
      <c r="M21" s="11"/>
      <c r="N21" s="11"/>
      <c r="O21" s="11"/>
      <c r="P21" s="11"/>
      <c r="Q21" s="11"/>
      <c r="R21" s="11"/>
      <c r="S21" s="11"/>
      <c r="T21" s="11"/>
    </row>
    <row r="22" spans="3:20" x14ac:dyDescent="0.25">
      <c r="C22" s="11"/>
      <c r="D22" s="11"/>
      <c r="E22" s="11"/>
      <c r="F22" s="11"/>
      <c r="G22" s="11"/>
      <c r="H22" s="11"/>
      <c r="I22" s="11"/>
      <c r="J22" s="11"/>
      <c r="K22" s="11"/>
      <c r="L22" s="11"/>
      <c r="M22" s="11"/>
      <c r="N22" s="11"/>
      <c r="O22" s="11"/>
      <c r="P22" s="11"/>
      <c r="Q22" s="11"/>
      <c r="R22" s="11"/>
      <c r="S22" s="11"/>
      <c r="T22" s="11"/>
    </row>
    <row r="23" spans="3:20" x14ac:dyDescent="0.25">
      <c r="C23" s="11"/>
      <c r="D23" s="11"/>
      <c r="E23" s="11"/>
      <c r="F23" s="11"/>
      <c r="G23" s="11"/>
      <c r="H23" s="11"/>
      <c r="I23" s="11"/>
      <c r="J23" s="11"/>
      <c r="K23" s="11"/>
      <c r="L23" s="11"/>
      <c r="M23" s="11"/>
      <c r="N23" s="11"/>
      <c r="O23" s="11"/>
      <c r="P23" s="11"/>
      <c r="Q23" s="11"/>
      <c r="R23" s="11"/>
      <c r="S23" s="11"/>
      <c r="T23" s="11"/>
    </row>
    <row r="24" spans="3:20" x14ac:dyDescent="0.25">
      <c r="C24" s="11"/>
      <c r="D24" s="11"/>
      <c r="E24" s="11"/>
      <c r="F24" s="11"/>
      <c r="G24" s="11"/>
      <c r="H24" s="11"/>
      <c r="I24" s="11"/>
      <c r="J24" s="11"/>
      <c r="K24" s="11"/>
      <c r="L24" s="11"/>
      <c r="M24" s="11"/>
      <c r="N24" s="11"/>
      <c r="O24" s="11"/>
      <c r="P24" s="11"/>
      <c r="Q24" s="11"/>
      <c r="R24" s="11"/>
      <c r="S24" s="11"/>
      <c r="T24" s="11"/>
    </row>
    <row r="25" spans="3:20" x14ac:dyDescent="0.25">
      <c r="C25" s="11"/>
      <c r="D25" s="11"/>
      <c r="E25" s="11"/>
      <c r="F25" s="11"/>
      <c r="G25" s="11"/>
      <c r="H25" s="11"/>
      <c r="I25" s="11"/>
      <c r="J25" s="11"/>
      <c r="K25" s="11"/>
      <c r="L25" s="11"/>
      <c r="M25" s="11"/>
      <c r="N25" s="11"/>
      <c r="O25" s="11"/>
      <c r="P25" s="11"/>
      <c r="Q25" s="11"/>
      <c r="R25" s="11"/>
      <c r="S25" s="11"/>
      <c r="T25" s="11"/>
    </row>
    <row r="26" spans="3:20" x14ac:dyDescent="0.25">
      <c r="C26" s="11"/>
      <c r="D26" s="11"/>
      <c r="E26" s="11"/>
      <c r="F26" s="11"/>
      <c r="G26" s="11"/>
      <c r="H26" s="11"/>
      <c r="I26" s="11"/>
      <c r="J26" s="11"/>
      <c r="K26" s="11"/>
      <c r="L26" s="11"/>
      <c r="M26" s="11"/>
      <c r="N26" s="11"/>
      <c r="O26" s="11"/>
      <c r="P26" s="11"/>
      <c r="Q26" s="11"/>
      <c r="R26" s="11"/>
      <c r="S26" s="11"/>
      <c r="T26" s="11"/>
    </row>
    <row r="27" spans="3:20" x14ac:dyDescent="0.25">
      <c r="C27" s="11"/>
      <c r="D27" s="11"/>
      <c r="E27" s="11"/>
      <c r="F27" s="11"/>
      <c r="G27" s="11"/>
      <c r="H27" s="11"/>
      <c r="I27" s="11"/>
      <c r="J27" s="11"/>
      <c r="K27" s="11"/>
      <c r="L27" s="11"/>
      <c r="M27" s="11"/>
      <c r="N27" s="11"/>
      <c r="O27" s="11"/>
      <c r="P27" s="11"/>
      <c r="Q27" s="11"/>
      <c r="R27" s="11"/>
      <c r="S27" s="11"/>
      <c r="T27" s="11"/>
    </row>
    <row r="28" spans="3:20" x14ac:dyDescent="0.25">
      <c r="C28" s="11"/>
      <c r="D28" s="11"/>
      <c r="E28" s="11"/>
      <c r="F28" s="11"/>
      <c r="G28" s="11"/>
      <c r="H28" s="11"/>
      <c r="I28" s="11"/>
      <c r="J28" s="11"/>
      <c r="K28" s="11"/>
      <c r="L28" s="11"/>
      <c r="M28" s="11"/>
      <c r="N28" s="11"/>
      <c r="O28" s="11"/>
      <c r="P28" s="11"/>
      <c r="Q28" s="11"/>
      <c r="R28" s="11"/>
      <c r="S28" s="11"/>
      <c r="T28" s="11"/>
    </row>
    <row r="29" spans="3:20" x14ac:dyDescent="0.25">
      <c r="C29" s="11"/>
      <c r="D29" s="11"/>
      <c r="E29" s="11"/>
      <c r="F29" s="11"/>
      <c r="G29" s="11"/>
      <c r="H29" s="11"/>
      <c r="I29" s="11"/>
      <c r="J29" s="11"/>
      <c r="K29" s="11"/>
      <c r="L29" s="11"/>
      <c r="M29" s="11"/>
      <c r="N29" s="11"/>
      <c r="O29" s="11"/>
      <c r="P29" s="11"/>
      <c r="Q29" s="11"/>
      <c r="R29" s="11"/>
      <c r="S29" s="11"/>
      <c r="T29" s="11"/>
    </row>
    <row r="30" spans="3:20" x14ac:dyDescent="0.25">
      <c r="C30" s="11"/>
      <c r="D30" s="11"/>
      <c r="E30" s="11"/>
      <c r="F30" s="11"/>
      <c r="G30" s="11"/>
      <c r="H30" s="11"/>
      <c r="I30" s="11"/>
      <c r="J30" s="11"/>
      <c r="K30" s="11"/>
      <c r="L30" s="11"/>
      <c r="M30" s="11"/>
      <c r="N30" s="11"/>
      <c r="O30" s="11"/>
      <c r="P30" s="11"/>
      <c r="Q30" s="11"/>
      <c r="R30" s="11"/>
      <c r="S30" s="11"/>
      <c r="T30" s="11"/>
    </row>
    <row r="31" spans="3:20" x14ac:dyDescent="0.25">
      <c r="C31" s="11"/>
      <c r="D31" s="11"/>
      <c r="E31" s="11"/>
      <c r="F31" s="11"/>
      <c r="G31" s="11"/>
      <c r="H31" s="11"/>
      <c r="I31" s="11"/>
      <c r="J31" s="11"/>
      <c r="K31" s="11"/>
      <c r="L31" s="11"/>
      <c r="M31" s="11"/>
      <c r="N31" s="11"/>
      <c r="O31" s="11"/>
      <c r="P31" s="11"/>
      <c r="Q31" s="11"/>
      <c r="R31" s="11"/>
      <c r="S31" s="11"/>
      <c r="T31" s="11"/>
    </row>
    <row r="32" spans="3:20" x14ac:dyDescent="0.25">
      <c r="C32" s="11"/>
      <c r="D32" s="11"/>
      <c r="E32" s="11"/>
      <c r="F32" s="11"/>
      <c r="G32" s="11"/>
      <c r="H32" s="11"/>
      <c r="I32" s="11"/>
      <c r="J32" s="11"/>
      <c r="K32" s="11"/>
      <c r="L32" s="11"/>
      <c r="M32" s="11"/>
      <c r="N32" s="11"/>
      <c r="O32" s="11"/>
      <c r="P32" s="11"/>
      <c r="Q32" s="11"/>
      <c r="R32" s="11"/>
      <c r="S32" s="11"/>
      <c r="T32" s="11"/>
    </row>
    <row r="33" spans="3:20" x14ac:dyDescent="0.25">
      <c r="C33" s="11"/>
      <c r="D33" s="11"/>
      <c r="E33" s="11"/>
      <c r="F33" s="11"/>
      <c r="G33" s="11"/>
      <c r="H33" s="11"/>
      <c r="I33" s="11"/>
      <c r="J33" s="11"/>
      <c r="K33" s="11"/>
      <c r="L33" s="11"/>
      <c r="M33" s="11"/>
      <c r="N33" s="11"/>
      <c r="O33" s="11"/>
      <c r="P33" s="11"/>
      <c r="Q33" s="11"/>
      <c r="R33" s="11"/>
      <c r="S33" s="11"/>
      <c r="T33" s="11"/>
    </row>
    <row r="34" spans="3:20" x14ac:dyDescent="0.25">
      <c r="C34" s="11"/>
      <c r="D34" s="11"/>
      <c r="E34" s="11"/>
      <c r="F34" s="11"/>
      <c r="G34" s="11"/>
      <c r="H34" s="11"/>
      <c r="I34" s="11"/>
      <c r="J34" s="11"/>
      <c r="K34" s="11"/>
      <c r="L34" s="11"/>
      <c r="M34" s="11"/>
      <c r="N34" s="11"/>
      <c r="O34" s="11"/>
      <c r="P34" s="11"/>
      <c r="Q34" s="11"/>
      <c r="R34" s="11"/>
      <c r="S34" s="11"/>
      <c r="T34" s="11"/>
    </row>
    <row r="35" spans="3:20" x14ac:dyDescent="0.25">
      <c r="C35" s="11"/>
      <c r="D35" s="11"/>
      <c r="E35" s="11"/>
      <c r="F35" s="11"/>
      <c r="G35" s="11"/>
      <c r="H35" s="11"/>
      <c r="I35" s="11"/>
      <c r="J35" s="11"/>
      <c r="K35" s="11"/>
      <c r="L35" s="11"/>
      <c r="M35" s="11"/>
      <c r="N35" s="11"/>
      <c r="O35" s="11"/>
      <c r="P35" s="11"/>
      <c r="Q35" s="11"/>
      <c r="R35" s="11"/>
      <c r="S35" s="11"/>
      <c r="T35" s="11"/>
    </row>
    <row r="36" spans="3:20" x14ac:dyDescent="0.25">
      <c r="C36" s="11"/>
      <c r="D36" s="11"/>
      <c r="E36" s="11"/>
      <c r="F36" s="11"/>
      <c r="G36" s="11"/>
      <c r="H36" s="11"/>
      <c r="I36" s="11"/>
      <c r="J36" s="11"/>
      <c r="K36" s="11"/>
      <c r="L36" s="11"/>
      <c r="M36" s="11"/>
      <c r="N36" s="11"/>
      <c r="O36" s="11"/>
      <c r="P36" s="11"/>
      <c r="Q36" s="11"/>
      <c r="R36" s="11"/>
      <c r="S36" s="11"/>
      <c r="T36" s="11"/>
    </row>
    <row r="37" spans="3:20" x14ac:dyDescent="0.25">
      <c r="C37" s="11"/>
      <c r="D37" s="11"/>
      <c r="E37" s="11"/>
      <c r="F37" s="11"/>
      <c r="G37" s="11"/>
      <c r="H37" s="11"/>
      <c r="I37" s="11"/>
      <c r="J37" s="11"/>
      <c r="K37" s="11"/>
      <c r="L37" s="11"/>
      <c r="M37" s="11"/>
      <c r="N37" s="11"/>
      <c r="O37" s="11"/>
      <c r="P37" s="11"/>
      <c r="Q37" s="11"/>
      <c r="R37" s="11"/>
      <c r="S37" s="11"/>
      <c r="T37" s="11"/>
    </row>
    <row r="38" spans="3:20" x14ac:dyDescent="0.25">
      <c r="C38" s="11"/>
      <c r="D38" s="11"/>
      <c r="E38" s="11"/>
      <c r="F38" s="11"/>
      <c r="G38" s="11"/>
      <c r="H38" s="11"/>
      <c r="I38" s="11"/>
      <c r="J38" s="11"/>
      <c r="K38" s="11"/>
      <c r="L38" s="11"/>
      <c r="M38" s="11"/>
      <c r="N38" s="11"/>
      <c r="O38" s="11"/>
      <c r="P38" s="11"/>
      <c r="Q38" s="11"/>
      <c r="R38" s="11"/>
      <c r="S38" s="11"/>
      <c r="T38" s="11"/>
    </row>
    <row r="39" spans="3:20" x14ac:dyDescent="0.25">
      <c r="C39" s="11"/>
      <c r="D39" s="11"/>
      <c r="E39" s="11"/>
      <c r="F39" s="11"/>
      <c r="G39" s="11"/>
      <c r="H39" s="11"/>
      <c r="I39" s="11"/>
      <c r="J39" s="11"/>
      <c r="K39" s="11"/>
      <c r="L39" s="11"/>
      <c r="M39" s="11"/>
      <c r="N39" s="11"/>
      <c r="O39" s="11"/>
      <c r="P39" s="11"/>
      <c r="Q39" s="11"/>
      <c r="R39" s="11"/>
      <c r="S39" s="11"/>
      <c r="T39" s="11"/>
    </row>
    <row r="40" spans="3:20" x14ac:dyDescent="0.25">
      <c r="C40" s="11"/>
      <c r="D40" s="11"/>
      <c r="E40" s="11"/>
      <c r="F40" s="11"/>
      <c r="G40" s="11"/>
      <c r="H40" s="11"/>
      <c r="I40" s="11"/>
      <c r="J40" s="11"/>
      <c r="K40" s="11"/>
      <c r="L40" s="11"/>
      <c r="M40" s="11"/>
      <c r="N40" s="11"/>
      <c r="O40" s="11"/>
      <c r="P40" s="11"/>
      <c r="Q40" s="11"/>
      <c r="R40" s="11"/>
      <c r="S40" s="11"/>
      <c r="T40" s="11"/>
    </row>
    <row r="41" spans="3:20" x14ac:dyDescent="0.25">
      <c r="C41" s="11"/>
      <c r="D41" s="11"/>
      <c r="E41" s="11"/>
      <c r="F41" s="11"/>
      <c r="G41" s="11"/>
      <c r="H41" s="11"/>
      <c r="I41" s="11"/>
      <c r="J41" s="11"/>
      <c r="K41" s="11"/>
      <c r="L41" s="11"/>
      <c r="M41" s="11"/>
      <c r="N41" s="11"/>
      <c r="O41" s="11"/>
      <c r="P41" s="11"/>
      <c r="Q41" s="11"/>
      <c r="R41" s="11"/>
      <c r="S41" s="11"/>
      <c r="T41" s="11"/>
    </row>
    <row r="42" spans="3:20" x14ac:dyDescent="0.25">
      <c r="C42" s="11"/>
      <c r="D42" s="11"/>
      <c r="E42" s="11"/>
      <c r="F42" s="11"/>
      <c r="G42" s="11"/>
      <c r="H42" s="11"/>
      <c r="I42" s="11"/>
      <c r="J42" s="11"/>
      <c r="K42" s="11"/>
      <c r="L42" s="11"/>
      <c r="M42" s="11"/>
      <c r="N42" s="11"/>
      <c r="O42" s="11"/>
      <c r="P42" s="11"/>
      <c r="Q42" s="11"/>
      <c r="R42" s="11"/>
      <c r="S42" s="11"/>
      <c r="T42" s="11"/>
    </row>
    <row r="43" spans="3:20" x14ac:dyDescent="0.25">
      <c r="C43" s="11"/>
      <c r="D43" s="11"/>
      <c r="E43" s="11"/>
      <c r="F43" s="11"/>
      <c r="G43" s="11"/>
      <c r="H43" s="11"/>
      <c r="I43" s="11"/>
      <c r="J43" s="11"/>
      <c r="K43" s="11"/>
      <c r="L43" s="11"/>
      <c r="M43" s="11"/>
      <c r="N43" s="11"/>
      <c r="O43" s="11"/>
      <c r="P43" s="11"/>
      <c r="Q43" s="11"/>
      <c r="R43" s="11"/>
      <c r="S43" s="11"/>
      <c r="T43" s="1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546" r:id="rId3" name="Button 2">
              <controlPr defaultSize="0" print="0" autoFill="0" autoPict="0" macro="[0]!AnalysisMenu">
                <anchor moveWithCells="1">
                  <from>
                    <xdr:col>1</xdr:col>
                    <xdr:colOff>447675</xdr:colOff>
                    <xdr:row>1</xdr:row>
                    <xdr:rowOff>114300</xdr:rowOff>
                  </from>
                  <to>
                    <xdr:col>4</xdr:col>
                    <xdr:colOff>381000</xdr:colOff>
                    <xdr:row>2</xdr:row>
                    <xdr:rowOff>161925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4:K41"/>
  <sheetViews>
    <sheetView workbookViewId="0">
      <selection activeCell="H15" sqref="H15"/>
    </sheetView>
  </sheetViews>
  <sheetFormatPr defaultRowHeight="15" x14ac:dyDescent="0.25"/>
  <cols>
    <col min="1" max="1" width="24.85546875" customWidth="1"/>
    <col min="2" max="2" width="21.28515625" customWidth="1"/>
    <col min="3" max="3" width="23.5703125" customWidth="1"/>
    <col min="8" max="8" width="22.42578125" customWidth="1"/>
    <col min="10" max="10" width="9.85546875" bestFit="1" customWidth="1"/>
  </cols>
  <sheetData>
    <row r="4" spans="1:10" x14ac:dyDescent="0.25">
      <c r="I4" s="1" t="s">
        <v>506</v>
      </c>
    </row>
    <row r="6" spans="1:10" x14ac:dyDescent="0.25">
      <c r="H6" s="1" t="s">
        <v>499</v>
      </c>
      <c r="I6" s="1" t="s">
        <v>331</v>
      </c>
    </row>
    <row r="8" spans="1:10" x14ac:dyDescent="0.25">
      <c r="A8" s="17" t="s">
        <v>582</v>
      </c>
      <c r="B8" s="17" t="s">
        <v>573</v>
      </c>
      <c r="C8" s="17" t="s">
        <v>583</v>
      </c>
      <c r="H8" s="14">
        <f>Income!$D$31</f>
        <v>0</v>
      </c>
      <c r="I8" s="18" t="e">
        <f>VLOOKUP(H8,Tables!D19:E30,2,FALSE)</f>
        <v>#N/A</v>
      </c>
    </row>
    <row r="10" spans="1:10" x14ac:dyDescent="0.25">
      <c r="A10" s="18">
        <f>Income!$K$29</f>
        <v>0</v>
      </c>
      <c r="B10" s="18" t="str">
        <f>$J$27</f>
        <v>Alabama</v>
      </c>
      <c r="C10" s="14" t="str">
        <f>IF(A10&lt;B10,"Passed","Failed")</f>
        <v>Passed</v>
      </c>
      <c r="I10" s="1" t="s">
        <v>507</v>
      </c>
    </row>
    <row r="12" spans="1:10" x14ac:dyDescent="0.25">
      <c r="A12" s="1" t="s">
        <v>197</v>
      </c>
      <c r="H12" s="1" t="s">
        <v>14</v>
      </c>
      <c r="J12" s="17" t="s">
        <v>178</v>
      </c>
    </row>
    <row r="13" spans="1:10" x14ac:dyDescent="0.25">
      <c r="H13" s="14">
        <f>Basic!$D$16</f>
        <v>0</v>
      </c>
      <c r="J13" s="18" t="e">
        <f>VLOOKUP(H13,Tables!A90:F157,H15+1,FALSE)</f>
        <v>#N/A</v>
      </c>
    </row>
    <row r="14" spans="1:10" x14ac:dyDescent="0.25">
      <c r="A14" t="s">
        <v>584</v>
      </c>
      <c r="C14" s="18">
        <f>Income!$K$33</f>
        <v>0</v>
      </c>
      <c r="H14" s="1" t="s">
        <v>499</v>
      </c>
    </row>
    <row r="15" spans="1:10" x14ac:dyDescent="0.25">
      <c r="H15" s="14">
        <f>IF(Income!$D$31&gt;5,5, Income!$D$31)</f>
        <v>0</v>
      </c>
    </row>
    <row r="16" spans="1:10" x14ac:dyDescent="0.25">
      <c r="A16" t="s">
        <v>585</v>
      </c>
      <c r="B16" s="18" t="e">
        <f>$I$8</f>
        <v>#N/A</v>
      </c>
    </row>
    <row r="17" spans="1:10" x14ac:dyDescent="0.25">
      <c r="A17" t="s">
        <v>586</v>
      </c>
      <c r="B17" s="18" t="e">
        <f>$J$13</f>
        <v>#N/A</v>
      </c>
      <c r="I17" s="1" t="s">
        <v>572</v>
      </c>
    </row>
    <row r="18" spans="1:10" x14ac:dyDescent="0.25">
      <c r="A18" t="s">
        <v>587</v>
      </c>
      <c r="B18" s="18" t="e">
        <f>$J$20</f>
        <v>#N/A</v>
      </c>
    </row>
    <row r="19" spans="1:10" x14ac:dyDescent="0.25">
      <c r="A19" t="s">
        <v>588</v>
      </c>
      <c r="B19" s="18" t="e">
        <f>$K$34</f>
        <v>#N/A</v>
      </c>
      <c r="H19" s="1" t="s">
        <v>14</v>
      </c>
      <c r="J19" s="17" t="s">
        <v>178</v>
      </c>
    </row>
    <row r="20" spans="1:10" x14ac:dyDescent="0.25">
      <c r="A20" t="s">
        <v>589</v>
      </c>
      <c r="B20" s="18">
        <f>$K$33</f>
        <v>182</v>
      </c>
      <c r="H20" s="14">
        <f>Basic!$D$16</f>
        <v>0</v>
      </c>
      <c r="J20" s="18" t="e">
        <f>VLOOKUP(H20,Tables!I90:N157,H22+1,FALSE)</f>
        <v>#N/A</v>
      </c>
    </row>
    <row r="21" spans="1:10" x14ac:dyDescent="0.25">
      <c r="A21" t="s">
        <v>28</v>
      </c>
      <c r="B21" s="18">
        <f>$K$41</f>
        <v>0</v>
      </c>
      <c r="H21" s="1" t="s">
        <v>499</v>
      </c>
    </row>
    <row r="22" spans="1:10" x14ac:dyDescent="0.25">
      <c r="A22" s="11" t="s">
        <v>169</v>
      </c>
      <c r="B22" s="11"/>
      <c r="H22" s="14">
        <f>IF(Income!$D$31&gt;5,5, Income!$D$31)</f>
        <v>0</v>
      </c>
    </row>
    <row r="23" spans="1:10" x14ac:dyDescent="0.25">
      <c r="A23" s="11" t="s">
        <v>169</v>
      </c>
      <c r="B23" s="11"/>
    </row>
    <row r="24" spans="1:10" x14ac:dyDescent="0.25">
      <c r="A24" s="11" t="s">
        <v>169</v>
      </c>
      <c r="B24" s="11"/>
      <c r="I24" s="1" t="s">
        <v>573</v>
      </c>
    </row>
    <row r="25" spans="1:10" x14ac:dyDescent="0.25">
      <c r="A25" s="11" t="s">
        <v>169</v>
      </c>
      <c r="B25" s="11"/>
    </row>
    <row r="26" spans="1:10" x14ac:dyDescent="0.25">
      <c r="A26" s="11" t="s">
        <v>169</v>
      </c>
      <c r="B26" s="11"/>
      <c r="H26" s="1" t="s">
        <v>16</v>
      </c>
      <c r="J26" s="1" t="s">
        <v>574</v>
      </c>
    </row>
    <row r="27" spans="1:10" x14ac:dyDescent="0.25">
      <c r="A27" s="11" t="s">
        <v>169</v>
      </c>
      <c r="B27" s="11"/>
      <c r="H27" s="14" t="s">
        <v>353</v>
      </c>
      <c r="J27" s="18" t="str">
        <f>VLOOKUP(H27,Tables!P89:AB140,H29+1,FALSE)</f>
        <v>Alabama</v>
      </c>
    </row>
    <row r="28" spans="1:10" x14ac:dyDescent="0.25">
      <c r="A28" s="11" t="s">
        <v>169</v>
      </c>
      <c r="B28" s="11"/>
      <c r="H28" s="1" t="s">
        <v>499</v>
      </c>
    </row>
    <row r="29" spans="1:10" x14ac:dyDescent="0.25">
      <c r="H29" s="14">
        <f>Income!$D$31</f>
        <v>0</v>
      </c>
    </row>
    <row r="31" spans="1:10" x14ac:dyDescent="0.25">
      <c r="C31" s="99" t="e">
        <f>SUM(B16:B28)</f>
        <v>#N/A</v>
      </c>
      <c r="I31" s="1" t="s">
        <v>55</v>
      </c>
    </row>
    <row r="33" spans="3:11" ht="15.75" thickBot="1" x14ac:dyDescent="0.3">
      <c r="C33" s="100" t="e">
        <f>C14-C31</f>
        <v>#N/A</v>
      </c>
      <c r="H33" s="1" t="s">
        <v>577</v>
      </c>
      <c r="I33" s="14">
        <f>IF(Vehicles!$C$53&gt;2,2, Vehicles!$C$53)</f>
        <v>0</v>
      </c>
      <c r="K33" s="18">
        <f>VLOOKUP(I33,Tables!AF90:AG92,2,FALSE)</f>
        <v>182</v>
      </c>
    </row>
    <row r="34" spans="3:11" ht="15.75" thickTop="1" x14ac:dyDescent="0.25">
      <c r="H34" s="1" t="s">
        <v>578</v>
      </c>
      <c r="I34" s="14">
        <f>IF(Vehicles!$C$67&gt;2,2, Vehicles!$C$67)</f>
        <v>0</v>
      </c>
      <c r="K34" s="18" t="e">
        <f>VLOOKUP(I34,Tables!AF97:AG98,2,FALSE)</f>
        <v>#N/A</v>
      </c>
    </row>
    <row r="35" spans="3:11" x14ac:dyDescent="0.25">
      <c r="C35" s="14" t="e">
        <f>IF(C33&lt;100,"PASSED","FAILED")</f>
        <v>#N/A</v>
      </c>
    </row>
    <row r="36" spans="3:11" x14ac:dyDescent="0.25">
      <c r="I36" s="1" t="s">
        <v>579</v>
      </c>
    </row>
    <row r="38" spans="3:11" x14ac:dyDescent="0.25">
      <c r="H38" s="1" t="s">
        <v>580</v>
      </c>
      <c r="I38" s="14">
        <f>Income!$D$32</f>
        <v>0</v>
      </c>
      <c r="J38" s="4">
        <v>144</v>
      </c>
      <c r="K38" s="18">
        <f>I38*J38</f>
        <v>0</v>
      </c>
    </row>
    <row r="39" spans="3:11" x14ac:dyDescent="0.25">
      <c r="H39" s="1" t="s">
        <v>581</v>
      </c>
      <c r="I39" s="14">
        <f>Income!$D$33</f>
        <v>0</v>
      </c>
      <c r="J39" s="4">
        <v>60</v>
      </c>
      <c r="K39" s="18">
        <f>I39*J39</f>
        <v>0</v>
      </c>
    </row>
    <row r="41" spans="3:11" x14ac:dyDescent="0.25">
      <c r="K41" s="18">
        <f>SUM(K38:K39)</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nalysisMenu">
                <anchor moveWithCells="1">
                  <from>
                    <xdr:col>1</xdr:col>
                    <xdr:colOff>447675</xdr:colOff>
                    <xdr:row>1</xdr:row>
                    <xdr:rowOff>114300</xdr:rowOff>
                  </from>
                  <to>
                    <xdr:col>2</xdr:col>
                    <xdr:colOff>790575</xdr:colOff>
                    <xdr:row>2</xdr:row>
                    <xdr:rowOff>161925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6:AN152"/>
  <sheetViews>
    <sheetView zoomScaleNormal="100" workbookViewId="0">
      <selection activeCell="A54" sqref="A54"/>
    </sheetView>
  </sheetViews>
  <sheetFormatPr defaultRowHeight="15" x14ac:dyDescent="0.25"/>
  <cols>
    <col min="1" max="1" width="48.28515625" customWidth="1"/>
    <col min="2" max="2" width="18.28515625" customWidth="1"/>
    <col min="3" max="3" width="20.28515625" customWidth="1"/>
    <col min="4" max="4" width="18.28515625" customWidth="1"/>
    <col min="5" max="5" width="20" customWidth="1"/>
    <col min="6" max="6" width="16.140625" customWidth="1"/>
    <col min="7" max="7" width="15.28515625" customWidth="1"/>
    <col min="8" max="8" width="19.85546875" customWidth="1"/>
    <col min="10" max="10" width="19.7109375" customWidth="1"/>
    <col min="11" max="12" width="20.42578125" customWidth="1"/>
    <col min="13" max="14" width="18.7109375" customWidth="1"/>
    <col min="15" max="15" width="19.42578125" customWidth="1"/>
    <col min="16" max="16" width="17.42578125" customWidth="1"/>
    <col min="17" max="17" width="21.7109375" customWidth="1"/>
    <col min="18" max="18" width="23.28515625" customWidth="1"/>
    <col min="19" max="19" width="22" customWidth="1"/>
    <col min="20" max="20" width="20" customWidth="1"/>
    <col min="21" max="21" width="17.42578125" customWidth="1"/>
    <col min="22" max="22" width="22" customWidth="1"/>
    <col min="23" max="23" width="22.5703125" customWidth="1"/>
    <col min="24" max="24" width="22" customWidth="1"/>
    <col min="25" max="25" width="17.85546875" customWidth="1"/>
    <col min="26" max="26" width="16.140625" customWidth="1"/>
    <col min="27" max="27" width="21.42578125" customWidth="1"/>
    <col min="28" max="28" width="23.28515625" customWidth="1"/>
    <col min="29" max="29" width="25.85546875" customWidth="1"/>
    <col min="30" max="30" width="27.5703125" customWidth="1"/>
    <col min="31" max="31" width="27.140625" customWidth="1"/>
    <col min="32" max="32" width="22.5703125" customWidth="1"/>
    <col min="33" max="33" width="21.140625" customWidth="1"/>
    <col min="34" max="34" width="19.5703125" customWidth="1"/>
    <col min="35" max="35" width="17.42578125" customWidth="1"/>
    <col min="36" max="36" width="16" customWidth="1"/>
  </cols>
  <sheetData>
    <row r="6" spans="1:39" x14ac:dyDescent="0.25">
      <c r="AB6" s="149"/>
      <c r="AC6" s="150"/>
      <c r="AD6" s="150"/>
      <c r="AE6" s="150"/>
      <c r="AF6" s="150"/>
      <c r="AG6" s="150"/>
      <c r="AH6" s="150"/>
      <c r="AI6" s="150"/>
      <c r="AJ6" s="150"/>
      <c r="AK6" s="115"/>
      <c r="AL6" s="115"/>
      <c r="AM6" s="15"/>
    </row>
    <row r="7" spans="1:39" x14ac:dyDescent="0.25">
      <c r="A7" s="126" t="s">
        <v>668</v>
      </c>
      <c r="B7" s="127"/>
      <c r="C7" s="127"/>
      <c r="D7" s="127"/>
      <c r="E7" s="127"/>
      <c r="F7" s="127"/>
      <c r="G7" s="127"/>
      <c r="H7" s="127"/>
      <c r="I7" s="127"/>
      <c r="J7" s="4"/>
      <c r="K7" s="4"/>
      <c r="AB7" s="150"/>
      <c r="AC7" s="150"/>
      <c r="AD7" s="150"/>
      <c r="AE7" s="150"/>
      <c r="AF7" s="150"/>
      <c r="AG7" s="150"/>
      <c r="AH7" s="150"/>
      <c r="AI7" s="150"/>
      <c r="AJ7" s="150"/>
      <c r="AK7" s="115"/>
      <c r="AL7" s="115"/>
      <c r="AM7" s="15"/>
    </row>
    <row r="8" spans="1:39" x14ac:dyDescent="0.25">
      <c r="A8" s="127"/>
      <c r="B8" s="127"/>
      <c r="C8" s="127"/>
      <c r="D8" s="127"/>
      <c r="E8" s="127"/>
      <c r="F8" s="127"/>
      <c r="G8" s="127"/>
      <c r="H8" s="127"/>
      <c r="I8" s="127"/>
      <c r="J8" s="4"/>
      <c r="K8" s="4"/>
      <c r="AB8" s="151"/>
      <c r="AC8" s="35"/>
      <c r="AD8" s="35"/>
      <c r="AE8" s="35"/>
      <c r="AF8" s="35"/>
      <c r="AG8" s="35"/>
      <c r="AH8" s="35"/>
      <c r="AI8" s="35"/>
      <c r="AJ8" s="35"/>
      <c r="AK8" s="115"/>
      <c r="AL8" s="115"/>
      <c r="AM8" s="15"/>
    </row>
    <row r="9" spans="1:39" x14ac:dyDescent="0.25">
      <c r="A9" s="103" t="s">
        <v>779</v>
      </c>
      <c r="B9" s="101"/>
      <c r="C9" s="101"/>
      <c r="D9" s="111"/>
      <c r="E9" s="101"/>
      <c r="F9" s="101"/>
      <c r="G9" s="101"/>
      <c r="H9" s="101"/>
      <c r="I9" s="101"/>
      <c r="J9" s="4"/>
      <c r="K9" s="4"/>
      <c r="AB9" s="151"/>
      <c r="AC9" s="35"/>
      <c r="AD9" s="35"/>
      <c r="AE9" s="35"/>
      <c r="AF9" s="35"/>
      <c r="AG9" s="35"/>
      <c r="AH9" s="35"/>
      <c r="AI9" s="35"/>
      <c r="AJ9" s="35"/>
      <c r="AK9" s="115"/>
      <c r="AL9" s="115"/>
      <c r="AM9" s="15"/>
    </row>
    <row r="10" spans="1:39" x14ac:dyDescent="0.25">
      <c r="A10" s="103" t="s">
        <v>669</v>
      </c>
      <c r="B10" s="111"/>
      <c r="C10" s="101"/>
      <c r="D10" s="101"/>
      <c r="E10" s="101"/>
      <c r="F10" s="101"/>
      <c r="G10" s="101"/>
      <c r="H10" s="101"/>
      <c r="I10" s="101"/>
      <c r="J10" s="4"/>
      <c r="K10" s="4"/>
      <c r="AB10" s="151"/>
      <c r="AC10" s="35"/>
      <c r="AD10" s="35"/>
      <c r="AE10" s="35"/>
      <c r="AF10" s="35"/>
      <c r="AG10" s="35"/>
      <c r="AH10" s="35"/>
      <c r="AI10" s="35"/>
      <c r="AJ10" s="35"/>
      <c r="AK10" s="115"/>
      <c r="AL10" s="115"/>
      <c r="AM10" s="15"/>
    </row>
    <row r="11" spans="1:39" x14ac:dyDescent="0.25">
      <c r="A11" s="103" t="s">
        <v>670</v>
      </c>
      <c r="B11" s="101"/>
      <c r="C11" s="101"/>
      <c r="D11" s="28" t="e">
        <f>IF(B10&gt;0,B10,VLOOKUP(D9,$AC$49:$AD$52,2))</f>
        <v>#N/A</v>
      </c>
      <c r="E11" s="101"/>
      <c r="F11" s="101"/>
      <c r="G11" s="101"/>
      <c r="H11" s="101"/>
      <c r="I11" s="101"/>
      <c r="J11" s="4"/>
      <c r="K11" s="4"/>
      <c r="AB11" s="151"/>
      <c r="AC11" s="152"/>
      <c r="AD11" s="152"/>
      <c r="AE11" s="35"/>
      <c r="AF11" s="152"/>
      <c r="AG11" s="152"/>
      <c r="AH11" s="152"/>
      <c r="AI11" s="35"/>
      <c r="AJ11" s="35"/>
      <c r="AK11" s="115"/>
      <c r="AL11" s="115"/>
      <c r="AM11" s="15"/>
    </row>
    <row r="12" spans="1:39" x14ac:dyDescent="0.25">
      <c r="A12" s="103" t="s">
        <v>671</v>
      </c>
      <c r="B12" s="128"/>
      <c r="C12" s="129"/>
      <c r="D12" s="28">
        <f>50*B12</f>
        <v>0</v>
      </c>
      <c r="E12" s="129"/>
      <c r="F12" s="129"/>
      <c r="G12" s="129"/>
      <c r="H12" s="101"/>
      <c r="I12" s="101"/>
      <c r="J12" s="4"/>
      <c r="K12" s="4"/>
      <c r="AB12" s="151"/>
      <c r="AC12" s="35"/>
      <c r="AD12" s="153"/>
      <c r="AE12" s="35"/>
      <c r="AF12" s="35"/>
      <c r="AG12" s="35"/>
      <c r="AH12" s="35"/>
      <c r="AI12" s="35"/>
      <c r="AJ12" s="35"/>
      <c r="AK12" s="115"/>
      <c r="AL12" s="115"/>
      <c r="AM12" s="15"/>
    </row>
    <row r="13" spans="1:39" x14ac:dyDescent="0.25">
      <c r="A13" s="103" t="s">
        <v>672</v>
      </c>
      <c r="B13" s="102">
        <f>Unsecured!$E$12</f>
        <v>0</v>
      </c>
      <c r="C13" s="104"/>
      <c r="D13" s="28">
        <f>IF(B13&lt;30000,0,IF(AND(B13&gt;=30000,B13&lt;50000),50,IF(AND(B13&gt;=50000,B13&lt;100000),100,IF(AND(B13&gt;=100000,B13&lt;200000),200,IF(B13&gt;=200000,300)))))</f>
        <v>0</v>
      </c>
      <c r="E13" s="101"/>
      <c r="F13" s="101"/>
      <c r="G13" s="101"/>
      <c r="H13" s="101"/>
      <c r="I13" s="101"/>
      <c r="J13" s="4"/>
      <c r="K13" s="4"/>
      <c r="AB13" s="151"/>
      <c r="AC13" s="35"/>
      <c r="AD13" s="35"/>
      <c r="AE13" s="35"/>
      <c r="AF13" s="35"/>
      <c r="AG13" s="35"/>
      <c r="AH13" s="35"/>
      <c r="AI13" s="35"/>
      <c r="AJ13" s="35"/>
      <c r="AK13" s="115"/>
      <c r="AL13" s="115"/>
      <c r="AM13" s="15"/>
    </row>
    <row r="14" spans="1:39" x14ac:dyDescent="0.25">
      <c r="A14" s="103" t="s">
        <v>673</v>
      </c>
      <c r="B14" s="111"/>
      <c r="C14" s="101"/>
      <c r="D14" s="28">
        <f>IF(B14="yes",250,0)</f>
        <v>0</v>
      </c>
      <c r="E14" s="101"/>
      <c r="F14" s="101"/>
      <c r="G14" s="101"/>
      <c r="H14" s="101"/>
      <c r="I14" s="101"/>
      <c r="J14" s="4"/>
      <c r="K14" s="4"/>
      <c r="AB14" s="151"/>
      <c r="AC14" s="35"/>
      <c r="AD14" s="35"/>
      <c r="AE14" s="35"/>
      <c r="AF14" s="35"/>
      <c r="AG14" s="35"/>
      <c r="AH14" s="35"/>
      <c r="AI14" s="35"/>
      <c r="AJ14" s="35"/>
      <c r="AK14" s="115"/>
      <c r="AL14" s="115"/>
      <c r="AM14" s="15"/>
    </row>
    <row r="15" spans="1:39" x14ac:dyDescent="0.25">
      <c r="A15" s="103" t="s">
        <v>674</v>
      </c>
      <c r="B15" s="28" t="str">
        <f>IF(RealProperty!$Q$77&gt;0,"Yes","No")</f>
        <v>No</v>
      </c>
      <c r="C15" s="101"/>
      <c r="D15" s="28">
        <f>IF(B15="yes",100,0)</f>
        <v>0</v>
      </c>
      <c r="E15" s="101"/>
      <c r="F15" s="101"/>
      <c r="G15" s="101"/>
      <c r="H15" s="101"/>
      <c r="I15" s="101"/>
      <c r="J15" s="4"/>
      <c r="K15" s="4"/>
      <c r="AB15" s="151"/>
      <c r="AC15" s="154"/>
      <c r="AD15" s="35"/>
      <c r="AE15" s="35"/>
      <c r="AF15" s="35"/>
      <c r="AG15" s="35"/>
      <c r="AH15" s="35"/>
      <c r="AI15" s="35"/>
      <c r="AJ15" s="35"/>
      <c r="AK15" s="115"/>
      <c r="AL15" s="115"/>
      <c r="AM15" s="15"/>
    </row>
    <row r="16" spans="1:39" x14ac:dyDescent="0.25">
      <c r="A16" s="103" t="s">
        <v>675</v>
      </c>
      <c r="B16" s="130"/>
      <c r="C16" s="101"/>
      <c r="D16" s="28">
        <f>IF(B16="yes",100,0)</f>
        <v>0</v>
      </c>
      <c r="E16" s="101"/>
      <c r="F16" s="101"/>
      <c r="G16" s="101"/>
      <c r="H16" s="101"/>
      <c r="I16" s="101"/>
      <c r="J16" s="4"/>
      <c r="K16" s="4"/>
      <c r="AB16" s="151"/>
      <c r="AC16" s="35"/>
      <c r="AD16" s="35"/>
      <c r="AE16" s="35"/>
      <c r="AF16" s="35"/>
      <c r="AG16" s="35"/>
      <c r="AH16" s="35"/>
      <c r="AI16" s="35"/>
      <c r="AJ16" s="35"/>
      <c r="AK16" s="115"/>
      <c r="AL16" s="115"/>
      <c r="AM16" s="15"/>
    </row>
    <row r="17" spans="1:39" x14ac:dyDescent="0.25">
      <c r="A17" s="103" t="s">
        <v>676</v>
      </c>
      <c r="B17" s="28" t="str">
        <f>IF(DebtSummary!$D$15&gt;0,"Yes","No")</f>
        <v>No</v>
      </c>
      <c r="C17" s="101"/>
      <c r="D17" s="28">
        <f>IF(B17="yes",100,0)</f>
        <v>0</v>
      </c>
      <c r="E17" s="101"/>
      <c r="F17" s="101"/>
      <c r="G17" s="101"/>
      <c r="H17" s="101"/>
      <c r="I17" s="101"/>
      <c r="J17" s="4"/>
      <c r="K17" s="4"/>
      <c r="AB17" s="151"/>
      <c r="AC17" s="35"/>
      <c r="AD17" s="35"/>
      <c r="AE17" s="35"/>
      <c r="AF17" s="35"/>
      <c r="AG17" s="35"/>
      <c r="AH17" s="35"/>
      <c r="AI17" s="35"/>
      <c r="AJ17" s="35"/>
      <c r="AK17" s="115"/>
      <c r="AL17" s="115"/>
      <c r="AM17" s="15"/>
    </row>
    <row r="18" spans="1:39" x14ac:dyDescent="0.25">
      <c r="A18" s="103" t="s">
        <v>677</v>
      </c>
      <c r="B18" s="118"/>
      <c r="C18" s="101"/>
      <c r="D18" s="28">
        <f>IF(B18="Yes",100,0)</f>
        <v>0</v>
      </c>
      <c r="E18" s="101"/>
      <c r="F18" s="101"/>
      <c r="G18" s="101"/>
      <c r="H18" s="101"/>
      <c r="I18" s="101"/>
      <c r="J18" s="4"/>
      <c r="K18" s="4"/>
      <c r="AB18" s="151"/>
      <c r="AC18" s="35"/>
      <c r="AD18" s="35"/>
      <c r="AE18" s="35"/>
      <c r="AF18" s="35"/>
      <c r="AG18" s="35"/>
      <c r="AH18" s="35"/>
      <c r="AI18" s="35"/>
      <c r="AJ18" s="35"/>
      <c r="AK18" s="115"/>
      <c r="AL18" s="115"/>
      <c r="AM18" s="15"/>
    </row>
    <row r="19" spans="1:39" x14ac:dyDescent="0.25">
      <c r="A19" s="103" t="s">
        <v>678</v>
      </c>
      <c r="B19" s="111"/>
      <c r="C19" s="101"/>
      <c r="D19" s="28">
        <f>IF(B19&gt;2,VLOOKUP(B19,$AF$49:$AG$52,2),0)</f>
        <v>0</v>
      </c>
      <c r="E19" s="101"/>
      <c r="F19" s="101"/>
      <c r="G19" s="101"/>
      <c r="H19" s="101"/>
      <c r="I19" s="101"/>
      <c r="J19" s="4"/>
      <c r="K19" s="4"/>
      <c r="AB19" s="151"/>
      <c r="AC19" s="35"/>
      <c r="AD19" s="35"/>
      <c r="AE19" s="35"/>
      <c r="AF19" s="35"/>
      <c r="AG19" s="35"/>
      <c r="AH19" s="35"/>
      <c r="AI19" s="35"/>
      <c r="AJ19" s="35"/>
      <c r="AK19" s="115"/>
      <c r="AL19" s="115"/>
      <c r="AM19" s="15"/>
    </row>
    <row r="20" spans="1:39" x14ac:dyDescent="0.25">
      <c r="A20" s="103" t="s">
        <v>679</v>
      </c>
      <c r="B20" s="111"/>
      <c r="C20" s="101"/>
      <c r="D20" s="28">
        <f>IF(B20&lt;1,0,VLOOKUP(B20,$AI$49:$AJ$54,2))</f>
        <v>0</v>
      </c>
      <c r="E20" s="101"/>
      <c r="F20" s="101"/>
      <c r="G20" s="101"/>
      <c r="H20" s="101"/>
      <c r="I20" s="101"/>
      <c r="J20" s="4"/>
      <c r="K20" s="4"/>
      <c r="AB20" s="151"/>
      <c r="AC20" s="35"/>
      <c r="AD20" s="153"/>
      <c r="AE20" s="35"/>
      <c r="AF20" s="35"/>
      <c r="AG20" s="35"/>
      <c r="AH20" s="35"/>
      <c r="AI20" s="35"/>
      <c r="AJ20" s="35"/>
      <c r="AK20" s="115"/>
      <c r="AL20" s="115"/>
      <c r="AM20" s="15"/>
    </row>
    <row r="21" spans="1:39" x14ac:dyDescent="0.25">
      <c r="A21" s="103" t="s">
        <v>680</v>
      </c>
      <c r="B21" s="102">
        <f>Income!$K$33</f>
        <v>0</v>
      </c>
      <c r="C21" s="104"/>
      <c r="D21" s="28">
        <f>IF(B21&gt;4166.67,150,IF(B21&gt;2083.33,50,0))</f>
        <v>0</v>
      </c>
      <c r="E21" s="101"/>
      <c r="F21" s="131"/>
      <c r="G21" s="131"/>
      <c r="H21" s="101"/>
      <c r="I21" s="101"/>
      <c r="J21" s="4"/>
      <c r="K21" s="4"/>
      <c r="AB21" s="151"/>
      <c r="AC21" s="35"/>
      <c r="AD21" s="153"/>
      <c r="AE21" s="35"/>
      <c r="AF21" s="35"/>
      <c r="AG21" s="35"/>
      <c r="AH21" s="35"/>
      <c r="AI21" s="35"/>
      <c r="AJ21" s="35"/>
      <c r="AK21" s="115"/>
      <c r="AL21" s="115"/>
      <c r="AM21" s="15"/>
    </row>
    <row r="22" spans="1:39" x14ac:dyDescent="0.25">
      <c r="A22" s="103" t="s">
        <v>681</v>
      </c>
      <c r="B22" s="111"/>
      <c r="C22" s="104"/>
      <c r="D22" s="101"/>
      <c r="E22" s="101"/>
      <c r="F22" s="101"/>
      <c r="G22" s="101"/>
      <c r="H22" s="101"/>
      <c r="I22" s="101"/>
      <c r="J22" s="4"/>
      <c r="K22" s="4"/>
      <c r="AB22" s="151"/>
      <c r="AC22" s="35"/>
      <c r="AD22" s="153"/>
      <c r="AE22" s="35"/>
      <c r="AF22" s="35"/>
      <c r="AG22" s="35"/>
      <c r="AH22" s="35"/>
      <c r="AI22" s="35"/>
      <c r="AJ22" s="35"/>
      <c r="AK22" s="115"/>
      <c r="AL22" s="115"/>
      <c r="AM22" s="15"/>
    </row>
    <row r="23" spans="1:39" x14ac:dyDescent="0.25">
      <c r="A23" s="103" t="s">
        <v>682</v>
      </c>
      <c r="B23" s="111"/>
      <c r="C23" s="104"/>
      <c r="D23" s="28">
        <f>IF(B23&gt;1,((B23*50)-50),0)</f>
        <v>0</v>
      </c>
      <c r="E23" s="101"/>
      <c r="F23" s="101"/>
      <c r="G23" s="101"/>
      <c r="H23" s="101"/>
      <c r="I23" s="101"/>
      <c r="J23" s="4"/>
      <c r="K23" s="4"/>
      <c r="AB23" s="151"/>
      <c r="AC23" s="35"/>
      <c r="AD23" s="153"/>
      <c r="AE23" s="35"/>
      <c r="AF23" s="35"/>
      <c r="AG23" s="35"/>
      <c r="AH23" s="35"/>
      <c r="AI23" s="35"/>
      <c r="AJ23" s="35"/>
      <c r="AK23" s="115"/>
      <c r="AL23" s="115"/>
      <c r="AM23" s="15"/>
    </row>
    <row r="24" spans="1:39" x14ac:dyDescent="0.25">
      <c r="A24" s="103" t="s">
        <v>683</v>
      </c>
      <c r="B24" s="102">
        <f>Basic!$D$16</f>
        <v>0</v>
      </c>
      <c r="C24" s="104"/>
      <c r="D24" s="28">
        <f>IF(B24="Jefferson",0,50)</f>
        <v>50</v>
      </c>
      <c r="E24" s="101"/>
      <c r="F24" s="101"/>
      <c r="G24" s="101"/>
      <c r="H24" s="101"/>
      <c r="I24" s="101"/>
      <c r="J24" s="4"/>
      <c r="K24" s="4"/>
      <c r="AB24" s="152"/>
      <c r="AC24" s="35"/>
      <c r="AD24" s="153"/>
      <c r="AE24" s="35"/>
      <c r="AF24" s="35"/>
      <c r="AG24" s="35"/>
      <c r="AH24" s="35"/>
      <c r="AI24" s="35"/>
      <c r="AJ24" s="35"/>
      <c r="AK24" s="115"/>
      <c r="AL24" s="115"/>
      <c r="AM24" s="15"/>
    </row>
    <row r="25" spans="1:39" x14ac:dyDescent="0.25">
      <c r="A25" s="129"/>
      <c r="B25" s="101"/>
      <c r="C25" s="104"/>
      <c r="D25" s="101"/>
      <c r="E25" s="101"/>
      <c r="F25" s="101"/>
      <c r="G25" s="101"/>
      <c r="H25" s="101"/>
      <c r="I25" s="101"/>
      <c r="J25" s="4"/>
      <c r="K25" s="4"/>
      <c r="AB25" s="152"/>
      <c r="AC25" s="35"/>
      <c r="AD25" s="35"/>
      <c r="AE25" s="35"/>
      <c r="AF25" s="35"/>
      <c r="AG25" s="35"/>
      <c r="AH25" s="35"/>
      <c r="AI25" s="35"/>
      <c r="AJ25" s="35"/>
      <c r="AK25" s="115"/>
      <c r="AL25" s="115"/>
      <c r="AM25" s="15"/>
    </row>
    <row r="26" spans="1:39" x14ac:dyDescent="0.25">
      <c r="A26" s="129"/>
      <c r="B26" s="101"/>
      <c r="C26" s="101"/>
      <c r="D26" s="101"/>
      <c r="E26" s="101"/>
      <c r="F26" s="101"/>
      <c r="G26" s="101"/>
      <c r="H26" s="101"/>
      <c r="I26" s="101"/>
      <c r="J26" s="4"/>
      <c r="K26" s="4"/>
      <c r="AB26" s="152"/>
      <c r="AC26" s="35"/>
      <c r="AD26" s="35"/>
      <c r="AE26" s="35"/>
      <c r="AF26" s="35"/>
      <c r="AG26" s="35"/>
      <c r="AH26" s="35"/>
      <c r="AI26" s="35"/>
      <c r="AJ26" s="35"/>
      <c r="AK26" s="115"/>
      <c r="AL26" s="115"/>
      <c r="AM26" s="15"/>
    </row>
    <row r="27" spans="1:39" x14ac:dyDescent="0.25">
      <c r="A27" s="129"/>
      <c r="B27" s="101"/>
      <c r="C27" s="101"/>
      <c r="D27" s="28" t="e">
        <f>SUM(D11:D24)</f>
        <v>#N/A</v>
      </c>
      <c r="E27" s="101"/>
      <c r="F27" s="101"/>
      <c r="G27" s="101"/>
      <c r="H27" s="101"/>
      <c r="I27" s="101"/>
      <c r="J27" s="4"/>
      <c r="K27" s="4"/>
      <c r="AB27" s="152"/>
      <c r="AC27" s="35"/>
      <c r="AD27" s="35"/>
      <c r="AE27" s="35"/>
      <c r="AF27" s="35"/>
      <c r="AG27" s="35"/>
      <c r="AH27" s="35"/>
      <c r="AI27" s="35"/>
      <c r="AJ27" s="35"/>
      <c r="AK27" s="115"/>
      <c r="AL27" s="115"/>
      <c r="AM27" s="15"/>
    </row>
    <row r="28" spans="1:39" x14ac:dyDescent="0.25">
      <c r="A28" s="129"/>
      <c r="B28" s="101"/>
      <c r="C28" s="101"/>
      <c r="D28" s="101"/>
      <c r="E28" s="101"/>
      <c r="F28" s="101"/>
      <c r="G28" s="101"/>
      <c r="H28" s="101"/>
      <c r="I28" s="101"/>
      <c r="J28" s="4"/>
      <c r="K28" s="4"/>
      <c r="AB28" s="152"/>
      <c r="AC28" s="35"/>
      <c r="AD28" s="35"/>
      <c r="AE28" s="35"/>
      <c r="AF28" s="35"/>
      <c r="AG28" s="35"/>
      <c r="AH28" s="35"/>
      <c r="AI28" s="35"/>
      <c r="AJ28" s="35"/>
      <c r="AK28" s="115"/>
      <c r="AL28" s="115"/>
      <c r="AM28" s="15"/>
    </row>
    <row r="29" spans="1:39" x14ac:dyDescent="0.25">
      <c r="A29" s="129"/>
      <c r="B29" s="101"/>
      <c r="C29" s="101"/>
      <c r="D29" s="101"/>
      <c r="E29" s="101"/>
      <c r="F29" s="101"/>
      <c r="G29" s="101"/>
      <c r="H29" s="101"/>
      <c r="I29" s="101"/>
      <c r="J29" s="4"/>
      <c r="K29" s="4"/>
      <c r="AB29" s="152"/>
      <c r="AC29" s="35"/>
      <c r="AD29" s="35"/>
      <c r="AE29" s="35"/>
      <c r="AF29" s="35"/>
      <c r="AG29" s="35"/>
      <c r="AH29" s="35"/>
      <c r="AI29" s="35"/>
      <c r="AJ29" s="35"/>
      <c r="AK29" s="115"/>
      <c r="AL29" s="115"/>
      <c r="AM29" s="15"/>
    </row>
    <row r="30" spans="1:39" x14ac:dyDescent="0.25">
      <c r="A30" s="129"/>
      <c r="B30" s="101"/>
      <c r="C30" s="101"/>
      <c r="D30" s="101"/>
      <c r="E30" s="101"/>
      <c r="F30" s="101"/>
      <c r="G30" s="101"/>
      <c r="H30" s="101"/>
      <c r="I30" s="101"/>
      <c r="J30" s="4"/>
      <c r="K30" s="4"/>
      <c r="AB30" s="151"/>
      <c r="AC30" s="35"/>
      <c r="AD30" s="35"/>
      <c r="AE30" s="35"/>
      <c r="AF30" s="35"/>
      <c r="AG30" s="35"/>
      <c r="AH30" s="35"/>
      <c r="AI30" s="35"/>
      <c r="AJ30" s="35"/>
      <c r="AK30" s="115"/>
      <c r="AL30" s="115"/>
      <c r="AM30" s="15"/>
    </row>
    <row r="31" spans="1:39" x14ac:dyDescent="0.25">
      <c r="A31" s="103" t="s">
        <v>684</v>
      </c>
      <c r="B31" s="101"/>
      <c r="C31" s="101"/>
      <c r="D31" s="28" t="e">
        <f>IF(D27&lt;500,500,D27)</f>
        <v>#N/A</v>
      </c>
      <c r="E31" s="101"/>
      <c r="F31" s="101"/>
      <c r="G31" s="101"/>
      <c r="H31" s="101"/>
      <c r="I31" s="101"/>
      <c r="J31" s="4"/>
      <c r="K31" s="4"/>
      <c r="AB31" s="151"/>
      <c r="AC31" s="35"/>
      <c r="AD31" s="35"/>
      <c r="AE31" s="35"/>
      <c r="AF31" s="35"/>
      <c r="AG31" s="35"/>
      <c r="AH31" s="35"/>
      <c r="AI31" s="35"/>
      <c r="AJ31" s="35"/>
      <c r="AK31" s="115"/>
      <c r="AL31" s="115"/>
      <c r="AM31" s="15"/>
    </row>
    <row r="32" spans="1:39" x14ac:dyDescent="0.25">
      <c r="A32" s="103" t="s">
        <v>685</v>
      </c>
      <c r="B32" s="101"/>
      <c r="C32" s="101"/>
      <c r="D32" s="28" t="e">
        <f>D31+400</f>
        <v>#N/A</v>
      </c>
      <c r="E32" s="101"/>
      <c r="F32" s="101"/>
      <c r="G32" s="101"/>
      <c r="H32" s="101"/>
      <c r="I32" s="101"/>
      <c r="J32" s="4"/>
      <c r="K32" s="4"/>
      <c r="AB32" s="151"/>
      <c r="AC32" s="35"/>
      <c r="AD32" s="35"/>
      <c r="AE32" s="35"/>
      <c r="AF32" s="35"/>
      <c r="AG32" s="35"/>
      <c r="AH32" s="35"/>
      <c r="AI32" s="35"/>
      <c r="AJ32" s="35"/>
      <c r="AK32" s="115"/>
      <c r="AL32" s="115"/>
      <c r="AM32" s="15"/>
    </row>
    <row r="33" spans="1:39" x14ac:dyDescent="0.25">
      <c r="A33" s="103"/>
      <c r="B33" s="101"/>
      <c r="C33" s="101"/>
      <c r="D33" s="101"/>
      <c r="E33" s="101"/>
      <c r="F33" s="101"/>
      <c r="G33" s="101"/>
      <c r="H33" s="101"/>
      <c r="I33" s="101"/>
      <c r="J33" s="4"/>
      <c r="K33" s="4"/>
      <c r="AB33" s="151"/>
      <c r="AC33" s="35"/>
      <c r="AD33" s="35"/>
      <c r="AE33" s="35"/>
      <c r="AF33" s="35"/>
      <c r="AG33" s="35"/>
      <c r="AH33" s="35"/>
      <c r="AI33" s="35"/>
      <c r="AJ33" s="35"/>
      <c r="AK33" s="115"/>
      <c r="AL33" s="115"/>
      <c r="AM33" s="15"/>
    </row>
    <row r="34" spans="1:39" x14ac:dyDescent="0.25">
      <c r="A34" s="103" t="s">
        <v>686</v>
      </c>
      <c r="B34" s="101"/>
      <c r="C34" s="101"/>
      <c r="D34" s="132" t="e">
        <f>IF(D32&lt;D31, D32, D31)</f>
        <v>#N/A</v>
      </c>
      <c r="E34" s="101"/>
      <c r="F34" s="101"/>
      <c r="G34" s="101"/>
      <c r="H34" s="101"/>
      <c r="I34" s="101"/>
      <c r="J34" s="4"/>
      <c r="K34" s="4"/>
      <c r="AB34" s="151"/>
      <c r="AC34" s="35"/>
      <c r="AD34" s="35"/>
      <c r="AE34" s="35"/>
      <c r="AF34" s="35"/>
      <c r="AG34" s="35"/>
      <c r="AH34" s="35"/>
      <c r="AI34" s="35"/>
      <c r="AJ34" s="35"/>
      <c r="AK34" s="115"/>
      <c r="AL34" s="115"/>
      <c r="AM34" s="15"/>
    </row>
    <row r="35" spans="1:39" x14ac:dyDescent="0.25">
      <c r="A35" s="103"/>
      <c r="B35" s="101"/>
      <c r="C35" s="101"/>
      <c r="D35" s="101"/>
      <c r="E35" s="101"/>
      <c r="F35" s="101"/>
      <c r="G35" s="101"/>
      <c r="H35" s="101"/>
      <c r="I35" s="101"/>
      <c r="J35" s="4"/>
      <c r="K35" s="4"/>
      <c r="AB35" s="151"/>
      <c r="AC35" s="155"/>
      <c r="AD35" s="155"/>
      <c r="AE35" s="155"/>
      <c r="AF35" s="155"/>
      <c r="AG35" s="155"/>
      <c r="AH35" s="155"/>
      <c r="AI35" s="155"/>
      <c r="AJ35" s="155"/>
      <c r="AK35" s="115"/>
      <c r="AL35" s="115"/>
      <c r="AM35" s="15"/>
    </row>
    <row r="36" spans="1:39" x14ac:dyDescent="0.25">
      <c r="A36" s="103" t="s">
        <v>687</v>
      </c>
      <c r="B36" s="133" t="s">
        <v>688</v>
      </c>
      <c r="C36" s="133" t="s">
        <v>689</v>
      </c>
      <c r="D36" s="133" t="s">
        <v>693</v>
      </c>
      <c r="E36" s="133" t="s">
        <v>696</v>
      </c>
      <c r="J36" s="4"/>
      <c r="K36" s="4"/>
      <c r="AB36" s="35"/>
      <c r="AC36" s="35"/>
      <c r="AD36" s="153"/>
      <c r="AE36" s="35"/>
      <c r="AF36" s="35"/>
      <c r="AG36" s="35"/>
      <c r="AH36" s="35"/>
      <c r="AI36" s="35"/>
      <c r="AJ36" s="35"/>
      <c r="AK36" s="115"/>
      <c r="AL36" s="115"/>
      <c r="AM36" s="15"/>
    </row>
    <row r="37" spans="1:39" x14ac:dyDescent="0.25">
      <c r="A37" s="111"/>
      <c r="B37" s="111"/>
      <c r="C37" s="113">
        <f>($A$43-$B$37)/2</f>
        <v>209.5</v>
      </c>
      <c r="D37" s="113">
        <f>($A$43-$B$37)/2</f>
        <v>209.5</v>
      </c>
      <c r="E37" s="113">
        <f>($A$43-$B$37)/2</f>
        <v>209.5</v>
      </c>
      <c r="J37" s="4"/>
      <c r="K37" s="4"/>
      <c r="AB37" s="115"/>
      <c r="AC37" s="35"/>
      <c r="AD37" s="35"/>
      <c r="AE37" s="35"/>
      <c r="AF37" s="35"/>
      <c r="AG37" s="35"/>
      <c r="AH37" s="35"/>
      <c r="AI37" s="35"/>
      <c r="AJ37" s="35"/>
      <c r="AK37" s="155"/>
      <c r="AL37" s="155"/>
      <c r="AM37" s="15"/>
    </row>
    <row r="38" spans="1:39" x14ac:dyDescent="0.25">
      <c r="A38" s="112">
        <v>306</v>
      </c>
      <c r="C38" s="133" t="s">
        <v>690</v>
      </c>
      <c r="D38" s="133" t="s">
        <v>780</v>
      </c>
      <c r="E38" s="133" t="s">
        <v>697</v>
      </c>
      <c r="F38" s="101"/>
      <c r="G38" s="101"/>
      <c r="H38" s="101"/>
      <c r="I38" s="101"/>
      <c r="AB38" s="35"/>
      <c r="AC38" s="35"/>
      <c r="AD38" s="35"/>
      <c r="AE38" s="35"/>
      <c r="AF38" s="35"/>
      <c r="AG38" s="35"/>
      <c r="AH38" s="35"/>
      <c r="AI38" s="35"/>
      <c r="AJ38" s="35"/>
      <c r="AK38" s="35"/>
      <c r="AL38" s="35"/>
      <c r="AM38" s="15"/>
    </row>
    <row r="39" spans="1:39" x14ac:dyDescent="0.25">
      <c r="A39" s="118">
        <v>40</v>
      </c>
      <c r="B39" s="101"/>
      <c r="C39" s="113">
        <f>($A$43-$B$37)/4</f>
        <v>104.75</v>
      </c>
      <c r="D39" s="113">
        <f>($A$43-$B$37)/3</f>
        <v>139.66666666666666</v>
      </c>
      <c r="E39" s="113">
        <f>($A$43-$B$37)/3</f>
        <v>139.66666666666666</v>
      </c>
      <c r="F39" s="101"/>
      <c r="G39" s="101"/>
      <c r="H39" s="101"/>
      <c r="I39" s="101"/>
      <c r="AB39" s="35"/>
      <c r="AC39" s="35"/>
      <c r="AD39" s="35"/>
      <c r="AE39" s="35"/>
      <c r="AF39" s="35"/>
      <c r="AG39" s="35"/>
      <c r="AH39" s="35"/>
      <c r="AI39" s="35"/>
      <c r="AJ39" s="35"/>
      <c r="AK39" s="115"/>
      <c r="AL39" s="115"/>
      <c r="AM39" s="15"/>
    </row>
    <row r="40" spans="1:39" x14ac:dyDescent="0.25">
      <c r="A40" s="118">
        <v>33</v>
      </c>
      <c r="B40" s="101"/>
      <c r="C40" s="133" t="s">
        <v>781</v>
      </c>
      <c r="D40" s="133" t="s">
        <v>694</v>
      </c>
      <c r="E40" s="101"/>
      <c r="F40" s="101"/>
      <c r="G40" s="101"/>
      <c r="H40" s="101"/>
      <c r="I40" s="101"/>
      <c r="J40" s="4"/>
      <c r="K40" s="4"/>
      <c r="AB40" s="35"/>
      <c r="AC40" s="35"/>
      <c r="AD40" s="35"/>
      <c r="AE40" s="35"/>
      <c r="AF40" s="35"/>
      <c r="AG40" s="35"/>
      <c r="AH40" s="35"/>
      <c r="AI40" s="35"/>
      <c r="AJ40" s="35"/>
      <c r="AK40" s="115"/>
      <c r="AL40" s="115"/>
      <c r="AM40" s="15"/>
    </row>
    <row r="41" spans="1:39" x14ac:dyDescent="0.25">
      <c r="A41" s="118">
        <v>40</v>
      </c>
      <c r="B41" s="101"/>
      <c r="C41" s="113">
        <f>($A$43-$B$37)/6</f>
        <v>69.833333333333329</v>
      </c>
      <c r="D41" s="113">
        <f>($A$43-$B$37)/4</f>
        <v>104.75</v>
      </c>
      <c r="E41" s="101"/>
      <c r="F41" s="101"/>
      <c r="G41" s="101"/>
      <c r="H41" s="101"/>
      <c r="I41" s="101"/>
      <c r="J41" s="4"/>
      <c r="K41" s="4"/>
      <c r="AB41" s="35"/>
      <c r="AC41" s="35"/>
      <c r="AD41" s="35"/>
      <c r="AE41" s="35"/>
      <c r="AF41" s="35"/>
      <c r="AG41" s="35"/>
      <c r="AH41" s="35"/>
      <c r="AI41" s="35"/>
      <c r="AJ41" s="35"/>
      <c r="AK41" s="115"/>
      <c r="AL41" s="115"/>
      <c r="AM41" s="15"/>
    </row>
    <row r="42" spans="1:39" x14ac:dyDescent="0.25">
      <c r="A42" s="111"/>
      <c r="B42" s="101"/>
      <c r="C42" s="133" t="s">
        <v>691</v>
      </c>
      <c r="D42" s="133" t="s">
        <v>695</v>
      </c>
      <c r="E42" s="101"/>
      <c r="F42" s="101"/>
      <c r="G42" s="101"/>
      <c r="H42" s="101"/>
      <c r="I42" s="101"/>
      <c r="J42" s="4"/>
      <c r="K42" s="4"/>
      <c r="AB42" s="35"/>
      <c r="AC42" s="35"/>
      <c r="AD42" s="35"/>
      <c r="AE42" s="35"/>
      <c r="AF42" s="35"/>
      <c r="AG42" s="35"/>
      <c r="AH42" s="35"/>
      <c r="AI42" s="35"/>
      <c r="AJ42" s="35"/>
      <c r="AK42" s="115"/>
      <c r="AL42" s="115"/>
      <c r="AM42" s="15"/>
    </row>
    <row r="43" spans="1:39" x14ac:dyDescent="0.25">
      <c r="A43" s="28">
        <f>SUM(A37:A42)</f>
        <v>419</v>
      </c>
      <c r="B43" s="101"/>
      <c r="C43" s="113">
        <f>($A$43-$B$37)/8</f>
        <v>52.375</v>
      </c>
      <c r="D43" s="113">
        <f>($A$43-$B$37)/6</f>
        <v>69.833333333333329</v>
      </c>
      <c r="E43" s="101"/>
      <c r="F43" s="101"/>
      <c r="G43" s="101"/>
      <c r="H43" s="101"/>
      <c r="I43" s="101"/>
      <c r="J43" s="4"/>
      <c r="K43" s="4"/>
      <c r="AB43" s="152"/>
      <c r="AC43" s="152"/>
      <c r="AD43" s="152"/>
      <c r="AE43" s="152"/>
      <c r="AF43" s="35"/>
      <c r="AG43" s="35"/>
      <c r="AH43" s="35"/>
      <c r="AI43" s="35"/>
      <c r="AJ43" s="35"/>
      <c r="AK43" s="115"/>
      <c r="AL43" s="115"/>
      <c r="AM43" s="15"/>
    </row>
    <row r="44" spans="1:39" x14ac:dyDescent="0.25">
      <c r="A44" s="129"/>
      <c r="B44" s="129"/>
      <c r="C44" s="133" t="s">
        <v>692</v>
      </c>
      <c r="D44" s="129"/>
      <c r="E44" s="101"/>
      <c r="F44" s="101"/>
      <c r="G44" s="101"/>
      <c r="H44" s="101"/>
      <c r="I44" s="101"/>
      <c r="J44" s="4"/>
      <c r="K44" s="4"/>
      <c r="AB44" s="4"/>
      <c r="AC44" s="4"/>
      <c r="AD44" s="4"/>
      <c r="AE44" s="4"/>
      <c r="AF44" s="4"/>
      <c r="AG44" s="4"/>
      <c r="AH44" s="4"/>
      <c r="AI44" s="4"/>
      <c r="AJ44" s="4"/>
      <c r="AK44" s="4"/>
      <c r="AL44" s="4"/>
    </row>
    <row r="45" spans="1:39" x14ac:dyDescent="0.25">
      <c r="C45" s="113">
        <f>($A$43-$B$37)/12</f>
        <v>34.916666666666664</v>
      </c>
      <c r="AB45" s="4"/>
      <c r="AC45" s="4"/>
      <c r="AD45" s="4"/>
      <c r="AE45" s="4"/>
      <c r="AF45" s="4"/>
      <c r="AG45" s="4"/>
      <c r="AH45" s="4"/>
      <c r="AI45" s="4"/>
      <c r="AJ45" s="4"/>
      <c r="AK45" s="4"/>
      <c r="AL45" s="4"/>
    </row>
    <row r="46" spans="1:39" x14ac:dyDescent="0.25">
      <c r="AB46" s="4"/>
      <c r="AC46" s="4"/>
      <c r="AD46" s="4"/>
      <c r="AE46" s="4"/>
      <c r="AF46" s="4"/>
      <c r="AG46" s="4"/>
      <c r="AH46" s="4"/>
      <c r="AI46" s="4"/>
      <c r="AJ46" s="4"/>
      <c r="AK46" s="4"/>
      <c r="AL46" s="4"/>
    </row>
    <row r="47" spans="1:39" x14ac:dyDescent="0.25">
      <c r="D47" s="17" t="s">
        <v>704</v>
      </c>
      <c r="E47" s="17"/>
      <c r="F47" s="17"/>
      <c r="G47" s="17"/>
      <c r="H47" s="17"/>
      <c r="AB47" s="4"/>
      <c r="AC47" s="4"/>
      <c r="AD47" s="4"/>
      <c r="AE47" s="4"/>
      <c r="AF47" s="4"/>
      <c r="AG47" s="4"/>
      <c r="AH47" s="4"/>
      <c r="AI47" s="4"/>
      <c r="AJ47" s="4"/>
      <c r="AK47" s="4"/>
      <c r="AL47" s="4"/>
    </row>
    <row r="48" spans="1:39" x14ac:dyDescent="0.25">
      <c r="C48" t="s">
        <v>786</v>
      </c>
      <c r="D48" s="18" t="e">
        <f>B53-B63</f>
        <v>#DIV/0!</v>
      </c>
      <c r="E48" s="115"/>
      <c r="F48" s="115"/>
      <c r="G48" s="115"/>
      <c r="H48" s="115"/>
      <c r="AB48" s="4"/>
      <c r="AC48" s="4"/>
      <c r="AD48" s="4"/>
      <c r="AE48" s="4"/>
      <c r="AF48" s="4"/>
      <c r="AG48" s="4"/>
      <c r="AH48" s="4"/>
      <c r="AI48" s="4"/>
      <c r="AJ48" s="4"/>
      <c r="AK48" s="4"/>
      <c r="AL48" s="4"/>
    </row>
    <row r="49" spans="1:40" x14ac:dyDescent="0.25">
      <c r="A49" t="s">
        <v>797</v>
      </c>
      <c r="B49" s="11" t="s">
        <v>4</v>
      </c>
      <c r="C49" t="s">
        <v>787</v>
      </c>
      <c r="D49" s="18" t="e">
        <f>B53-C63-C64</f>
        <v>#DIV/0!</v>
      </c>
      <c r="E49" s="115"/>
      <c r="F49" s="115"/>
      <c r="G49" s="115"/>
      <c r="H49" s="115"/>
      <c r="AB49" s="4"/>
      <c r="AC49" s="134">
        <v>1</v>
      </c>
      <c r="AD49" s="134">
        <v>700</v>
      </c>
      <c r="AE49" s="4"/>
      <c r="AF49" s="134">
        <v>3</v>
      </c>
      <c r="AG49" s="134">
        <v>50</v>
      </c>
      <c r="AH49" s="4"/>
      <c r="AI49" s="134">
        <v>1</v>
      </c>
      <c r="AJ49" s="134">
        <v>75</v>
      </c>
      <c r="AK49" s="4"/>
      <c r="AL49" s="4"/>
    </row>
    <row r="50" spans="1:40" x14ac:dyDescent="0.25">
      <c r="C50" t="s">
        <v>788</v>
      </c>
      <c r="D50" s="18" t="e">
        <f>B53-C63-C64-C65</f>
        <v>#DIV/0!</v>
      </c>
      <c r="E50" s="115"/>
      <c r="F50" s="115"/>
      <c r="G50" s="115"/>
      <c r="H50" s="115"/>
      <c r="AB50" s="4"/>
      <c r="AC50" s="134">
        <v>2</v>
      </c>
      <c r="AD50" s="134">
        <v>800</v>
      </c>
      <c r="AE50" s="4"/>
      <c r="AF50" s="134">
        <v>4</v>
      </c>
      <c r="AG50" s="134">
        <v>100</v>
      </c>
      <c r="AH50" s="4"/>
      <c r="AI50" s="134">
        <v>2</v>
      </c>
      <c r="AJ50" s="134">
        <v>150</v>
      </c>
      <c r="AK50" s="4"/>
      <c r="AL50" s="4"/>
    </row>
    <row r="51" spans="1:40" x14ac:dyDescent="0.25">
      <c r="A51" s="4" t="s">
        <v>698</v>
      </c>
      <c r="B51" s="135"/>
      <c r="C51" t="s">
        <v>789</v>
      </c>
      <c r="D51" s="18" t="e">
        <f>B53-C63-C64-C65-C66</f>
        <v>#DIV/0!</v>
      </c>
      <c r="E51" s="115"/>
      <c r="F51" s="115"/>
      <c r="G51" s="115"/>
      <c r="H51" s="115"/>
      <c r="AB51" s="4"/>
      <c r="AC51" s="134">
        <v>3</v>
      </c>
      <c r="AD51" s="134">
        <v>900</v>
      </c>
      <c r="AE51" s="4"/>
      <c r="AF51" s="134">
        <v>5</v>
      </c>
      <c r="AG51" s="134">
        <v>150</v>
      </c>
      <c r="AH51" s="4"/>
      <c r="AI51" s="134">
        <v>3</v>
      </c>
      <c r="AJ51" s="134">
        <v>225</v>
      </c>
      <c r="AK51" s="4"/>
      <c r="AL51" s="4"/>
    </row>
    <row r="52" spans="1:40" x14ac:dyDescent="0.25">
      <c r="A52" s="4"/>
      <c r="B52" s="4"/>
      <c r="C52" t="s">
        <v>790</v>
      </c>
      <c r="D52" s="18" t="e">
        <f>B53-C63-C64-C65-C66-C67</f>
        <v>#DIV/0!</v>
      </c>
      <c r="E52" s="115"/>
      <c r="F52" s="115"/>
      <c r="G52" s="115"/>
      <c r="H52" s="115"/>
      <c r="AB52" s="4"/>
      <c r="AC52" s="134">
        <v>4</v>
      </c>
      <c r="AD52" s="134">
        <v>1000</v>
      </c>
      <c r="AE52" s="4"/>
      <c r="AF52" s="134">
        <v>6</v>
      </c>
      <c r="AG52" s="134">
        <v>200</v>
      </c>
      <c r="AH52" s="4"/>
      <c r="AI52" s="134">
        <v>4</v>
      </c>
      <c r="AJ52" s="134">
        <v>300</v>
      </c>
      <c r="AK52" s="4"/>
      <c r="AL52" s="4"/>
    </row>
    <row r="53" spans="1:40" x14ac:dyDescent="0.25">
      <c r="A53" s="4" t="s">
        <v>699</v>
      </c>
      <c r="B53" s="136">
        <f>IF(AND($B$49&lt;&gt;"Yes",B55="Yes",B59=1),B57-419,IF(AND($B$49="Yes",B55="Yes",B59=1),B57-113,IF(AND($B$49&lt;&gt;"Yes",B55="Yes",B59=2),B57-439,IF(AND($B$49="Yes",B55="Yes","B59"=2),B57-133,IF(AND($B$49&lt;&gt;"Yes",B55="Yes"),B57-386,IF(AND(B49="Yes",B55="No"),B57-80,IF(AND(B49="Yes",B55="Yes",B59=2),B57-133,B57-386)))))))</f>
        <v>-386</v>
      </c>
      <c r="C53" t="s">
        <v>791</v>
      </c>
      <c r="D53" s="18" t="e">
        <f>B53-C63-C64-C65-C66-C67-C68</f>
        <v>#DIV/0!</v>
      </c>
      <c r="E53" s="115"/>
      <c r="F53" s="115"/>
      <c r="G53" s="115"/>
      <c r="H53" s="115"/>
      <c r="I53" s="4"/>
      <c r="J53" s="4"/>
      <c r="K53" s="4"/>
      <c r="AB53" s="4"/>
      <c r="AC53" s="4"/>
      <c r="AD53" s="4"/>
      <c r="AE53" s="4"/>
      <c r="AF53" s="4"/>
      <c r="AG53" s="4"/>
      <c r="AH53" s="4"/>
      <c r="AI53" s="134">
        <v>5</v>
      </c>
      <c r="AJ53" s="134">
        <v>375</v>
      </c>
      <c r="AK53" s="4"/>
      <c r="AL53" s="4"/>
    </row>
    <row r="54" spans="1:40" x14ac:dyDescent="0.25">
      <c r="C54" t="s">
        <v>792</v>
      </c>
      <c r="D54" s="18" t="e">
        <f>B53-C63-C64-C65-C66-C67-C68-C69</f>
        <v>#DIV/0!</v>
      </c>
      <c r="E54" s="115"/>
      <c r="F54" s="115"/>
      <c r="G54" s="115"/>
      <c r="H54" s="115"/>
      <c r="I54" s="4"/>
      <c r="J54" s="4"/>
      <c r="K54" s="4"/>
      <c r="AB54" s="4"/>
      <c r="AC54" s="4"/>
      <c r="AD54" s="4"/>
      <c r="AE54" s="4"/>
      <c r="AF54" s="4"/>
      <c r="AG54" s="4"/>
      <c r="AH54" s="4"/>
      <c r="AI54" s="134">
        <v>6</v>
      </c>
      <c r="AJ54" s="134">
        <v>450</v>
      </c>
      <c r="AK54" s="4"/>
      <c r="AL54" s="4"/>
    </row>
    <row r="55" spans="1:40" x14ac:dyDescent="0.25">
      <c r="A55" t="s">
        <v>722</v>
      </c>
      <c r="B55" s="11"/>
      <c r="C55" t="s">
        <v>793</v>
      </c>
      <c r="D55" s="18" t="e">
        <f>B53-C63-C64-C65-C66-C67-C68-C69-C70</f>
        <v>#DIV/0!</v>
      </c>
      <c r="E55" s="115"/>
      <c r="F55" s="115"/>
      <c r="G55" s="115"/>
      <c r="H55" s="115"/>
      <c r="I55" s="4"/>
      <c r="J55" s="4"/>
      <c r="K55" s="4"/>
      <c r="AB55" s="4"/>
      <c r="AC55" s="4"/>
      <c r="AD55" s="4"/>
      <c r="AE55" s="4"/>
      <c r="AF55" s="4"/>
      <c r="AG55" s="4"/>
      <c r="AH55" s="4"/>
      <c r="AI55" s="4"/>
      <c r="AJ55" s="4"/>
      <c r="AK55" s="4"/>
      <c r="AL55" s="4"/>
    </row>
    <row r="56" spans="1:40" x14ac:dyDescent="0.25">
      <c r="A56" s="4"/>
      <c r="B56" s="4"/>
      <c r="C56" t="s">
        <v>794</v>
      </c>
      <c r="D56" s="14"/>
      <c r="E56" s="115"/>
      <c r="F56" s="115"/>
      <c r="G56" s="115"/>
      <c r="H56" s="115"/>
      <c r="I56" s="127"/>
      <c r="J56" s="127"/>
      <c r="K56" s="127"/>
      <c r="L56" s="14">
        <f>IF(AND(B55="Yes",B59=1),33,IF(AND(B55="Yes",B59=2),53,0))</f>
        <v>0</v>
      </c>
      <c r="AB56" s="4"/>
      <c r="AC56" s="4"/>
      <c r="AD56" s="4"/>
      <c r="AE56" s="4"/>
      <c r="AF56" s="4"/>
      <c r="AG56" s="4"/>
      <c r="AH56" s="4"/>
      <c r="AI56" s="4"/>
      <c r="AJ56" s="4"/>
      <c r="AK56" s="4"/>
      <c r="AL56" s="4"/>
    </row>
    <row r="57" spans="1:40" x14ac:dyDescent="0.25">
      <c r="A57" s="4" t="s">
        <v>700</v>
      </c>
      <c r="B57" s="135"/>
      <c r="C57" t="s">
        <v>795</v>
      </c>
      <c r="D57" s="14"/>
      <c r="E57" s="115"/>
      <c r="F57" s="115"/>
      <c r="G57" s="115"/>
      <c r="H57" s="115"/>
      <c r="I57" s="127"/>
      <c r="J57" s="127"/>
      <c r="K57" s="127"/>
      <c r="AB57" s="4"/>
      <c r="AC57" s="4"/>
      <c r="AD57" s="4"/>
      <c r="AE57" s="4"/>
      <c r="AF57" s="4"/>
      <c r="AG57" s="4"/>
      <c r="AH57" s="4"/>
      <c r="AI57" s="4"/>
      <c r="AJ57" s="4"/>
      <c r="AK57" s="4"/>
      <c r="AL57" s="4"/>
    </row>
    <row r="58" spans="1:40" x14ac:dyDescent="0.25">
      <c r="A58" s="4"/>
      <c r="B58" s="4"/>
      <c r="C58" t="s">
        <v>796</v>
      </c>
      <c r="D58" s="18"/>
      <c r="E58" s="115"/>
      <c r="F58" s="115"/>
      <c r="G58" s="115"/>
      <c r="H58" s="115"/>
      <c r="I58" s="101"/>
      <c r="J58" s="101"/>
      <c r="K58" s="148" t="s">
        <v>70</v>
      </c>
      <c r="AB58" s="4"/>
      <c r="AC58" s="4"/>
      <c r="AD58" s="4"/>
      <c r="AE58" s="4"/>
      <c r="AF58" s="4"/>
      <c r="AG58" s="4"/>
      <c r="AH58" s="4"/>
      <c r="AI58" s="4"/>
      <c r="AJ58" s="4"/>
      <c r="AK58" s="4"/>
      <c r="AL58" s="4"/>
    </row>
    <row r="59" spans="1:40" x14ac:dyDescent="0.25">
      <c r="A59" s="4" t="s">
        <v>701</v>
      </c>
      <c r="B59" s="135"/>
      <c r="C59" s="4"/>
      <c r="D59" s="4"/>
      <c r="E59" s="4"/>
      <c r="F59" s="4"/>
      <c r="G59" s="4"/>
      <c r="H59" s="4"/>
      <c r="I59" s="101"/>
      <c r="J59" s="101"/>
      <c r="K59" s="148" t="s">
        <v>4</v>
      </c>
      <c r="AB59" s="4"/>
      <c r="AC59" s="4"/>
      <c r="AD59" s="115"/>
      <c r="AE59" s="115"/>
      <c r="AF59" s="115"/>
      <c r="AG59" s="115"/>
      <c r="AH59" s="115"/>
      <c r="AI59" s="115"/>
      <c r="AJ59" s="115"/>
      <c r="AK59" s="115"/>
      <c r="AL59" s="4"/>
      <c r="AM59" s="4"/>
      <c r="AN59" s="4"/>
    </row>
    <row r="60" spans="1:40" x14ac:dyDescent="0.25">
      <c r="A60" s="4"/>
      <c r="B60" s="32"/>
      <c r="C60" s="115"/>
      <c r="D60" s="32"/>
      <c r="E60" s="32" t="s">
        <v>702</v>
      </c>
      <c r="F60" s="32" t="s">
        <v>702</v>
      </c>
      <c r="G60" s="32"/>
      <c r="H60" s="32" t="s">
        <v>703</v>
      </c>
      <c r="I60" s="101"/>
      <c r="J60" s="101"/>
      <c r="K60" s="101"/>
      <c r="AB60" s="4"/>
      <c r="AC60" s="4"/>
      <c r="AD60" s="115"/>
      <c r="AE60" s="115"/>
      <c r="AF60" s="115"/>
      <c r="AG60" s="115"/>
      <c r="AH60" s="115"/>
      <c r="AI60" s="115"/>
      <c r="AJ60" s="115"/>
      <c r="AK60" s="115"/>
      <c r="AL60" s="4"/>
      <c r="AM60" s="4"/>
      <c r="AN60" s="4"/>
    </row>
    <row r="61" spans="1:40" x14ac:dyDescent="0.25">
      <c r="A61" s="4"/>
      <c r="B61" s="137" t="s">
        <v>687</v>
      </c>
      <c r="C61" s="24" t="s">
        <v>704</v>
      </c>
      <c r="D61" s="24" t="s">
        <v>705</v>
      </c>
      <c r="E61" s="24" t="s">
        <v>706</v>
      </c>
      <c r="F61" s="24" t="s">
        <v>707</v>
      </c>
      <c r="G61" s="24" t="s">
        <v>607</v>
      </c>
      <c r="H61" s="24" t="s">
        <v>708</v>
      </c>
      <c r="I61" s="101"/>
      <c r="J61" s="101"/>
      <c r="K61" s="101"/>
      <c r="AB61" s="4"/>
      <c r="AC61" s="4"/>
      <c r="AD61" s="115"/>
      <c r="AE61" s="115"/>
      <c r="AF61" s="115"/>
      <c r="AG61" s="115"/>
      <c r="AH61" s="115"/>
      <c r="AI61" s="115"/>
      <c r="AJ61" s="115"/>
      <c r="AK61" s="115"/>
      <c r="AL61" s="4"/>
      <c r="AM61" s="4"/>
      <c r="AN61" s="4"/>
    </row>
    <row r="62" spans="1:40" x14ac:dyDescent="0.25">
      <c r="A62" s="4"/>
      <c r="C62" s="4"/>
      <c r="D62" s="4"/>
      <c r="E62" s="4"/>
      <c r="F62" s="4"/>
      <c r="G62" s="4"/>
      <c r="I62" s="101"/>
      <c r="J62" s="101"/>
      <c r="K62" s="101"/>
      <c r="AC62" s="4"/>
      <c r="AD62" s="115"/>
      <c r="AE62" s="115"/>
      <c r="AF62" s="115"/>
      <c r="AG62" s="115"/>
      <c r="AH62" s="115"/>
      <c r="AI62" s="115"/>
      <c r="AJ62" s="115"/>
      <c r="AK62" s="115"/>
      <c r="AL62" s="127"/>
      <c r="AM62" s="127"/>
      <c r="AN62" s="127"/>
    </row>
    <row r="63" spans="1:40" x14ac:dyDescent="0.25">
      <c r="A63" s="135" t="s">
        <v>709</v>
      </c>
      <c r="B63" s="136" t="e">
        <f>$B$57/$B$51</f>
        <v>#DIV/0!</v>
      </c>
      <c r="C63" s="136" t="e">
        <f>IF(B53&gt;B63,B63,0)</f>
        <v>#DIV/0!</v>
      </c>
      <c r="D63" s="136">
        <v>0</v>
      </c>
      <c r="E63" s="136">
        <v>0</v>
      </c>
      <c r="F63" s="136">
        <v>0</v>
      </c>
      <c r="G63" s="136">
        <v>0</v>
      </c>
      <c r="H63" s="136" t="e">
        <f>SUM(C63:G63)</f>
        <v>#DIV/0!</v>
      </c>
      <c r="I63" s="101"/>
      <c r="J63" s="35"/>
      <c r="K63" s="35"/>
      <c r="AC63" s="4"/>
      <c r="AD63" s="115"/>
      <c r="AE63" s="115"/>
      <c r="AF63" s="115"/>
      <c r="AG63" s="115"/>
      <c r="AH63" s="115"/>
      <c r="AI63" s="115"/>
      <c r="AJ63" s="115"/>
      <c r="AK63" s="115"/>
      <c r="AL63" s="127"/>
      <c r="AM63" s="127"/>
      <c r="AN63" s="127"/>
    </row>
    <row r="64" spans="1:40" x14ac:dyDescent="0.25">
      <c r="A64" s="135" t="s">
        <v>710</v>
      </c>
      <c r="B64" s="136" t="e">
        <f>$B$57/$B$51</f>
        <v>#DIV/0!</v>
      </c>
      <c r="C64" s="136" t="e">
        <f>IF(AND(C63&lt;B53,D48&gt;B64),B64,D48)</f>
        <v>#DIV/0!</v>
      </c>
      <c r="D64" s="136" t="e">
        <f>IF(AND(SUM(D$63:D63)&lt;40,B64-C64&gt;0,B64-C64&lt;=40),B64-C64,IF(B64-C64&gt;40,40-SUM(D$63:D63),IF(B64-C64=0,0)))</f>
        <v>#DIV/0!</v>
      </c>
      <c r="E64" s="136" t="e">
        <f>IF(AND(SUM(E$63:E63)&lt;40,B64-C64-D64&gt;0,B64-C64-D64&lt;=40),B64-C64-D64,IF(B64-C64-D64&gt;40,40-SUM(E$63:E63),IF(B64-C64-D64=0,0)))</f>
        <v>#DIV/0!</v>
      </c>
      <c r="F64" s="136" t="e">
        <f>IF(AND(SUM(F$63:F63)&lt;$L$56,B64-C64-D64-E64&gt;0,B64-C64-D64-E64&lt;=$L$56),B64-C64-D64-E64,IF(B64-C64-D64-E64&gt;$L$56,$L$56-SUM(F$63:F63),IF(B64-C64-D64-E64=0,0)))</f>
        <v>#DIV/0!</v>
      </c>
      <c r="G64" s="136" t="e">
        <f>IF(AND(SUM(G$63:G63)&lt;306,B64-C64-D64-E64-F64&gt;0,B64-C64-D64-E64-F64&lt;=306,$B$49&lt;&gt;"Yes"),B64-C64-D64-E64-F64,IF(AND(B64-C64-D64-E64-F64&gt;306,$B$49&lt;&gt;"Yes"),306-SUM(G$63:G63),IF(OR(B64-C64-D64-E64-F64=0,$B$49="Yes"),0)))</f>
        <v>#DIV/0!</v>
      </c>
      <c r="H64" s="136" t="e">
        <f t="shared" ref="H64:H74" si="0">SUM(C64:G64)</f>
        <v>#DIV/0!</v>
      </c>
      <c r="I64" s="101"/>
      <c r="J64" s="35"/>
      <c r="K64" s="35"/>
      <c r="AC64" s="4"/>
      <c r="AD64" s="115"/>
      <c r="AE64" s="115"/>
      <c r="AF64" s="115"/>
      <c r="AG64" s="115"/>
      <c r="AH64" s="115"/>
      <c r="AI64" s="115"/>
      <c r="AJ64" s="115"/>
      <c r="AK64" s="115"/>
      <c r="AL64" s="101"/>
      <c r="AM64" s="101"/>
      <c r="AN64" s="101"/>
    </row>
    <row r="65" spans="1:40" x14ac:dyDescent="0.25">
      <c r="A65" s="135" t="s">
        <v>711</v>
      </c>
      <c r="B65" s="136" t="e">
        <f>$B$57/$B$51</f>
        <v>#DIV/0!</v>
      </c>
      <c r="C65" s="136" t="e">
        <f>IF(AND(SUM(C63:C64)&lt;$B$53,D49&gt;B65),B65,D49)</f>
        <v>#DIV/0!</v>
      </c>
      <c r="D65" s="136" t="e">
        <f>IF(AND(SUM(D$63:D64)&lt;40,B65-C65&gt;0,B65-C65&lt;=40),B65-C65,IF(B65-C65&gt;40,40-SUM(D$63:D64),IF(B65-C65=0,0)))</f>
        <v>#DIV/0!</v>
      </c>
      <c r="E65" s="136" t="e">
        <f>IF(AND(SUM(E$63:E64)&lt;40,B65-C65-D65&gt;0,B65-C65-D65&lt;=40),B65-C65-D65,IF(B65-C65-D65&gt;40,40-SUM(E$63:E64),IF(B65-C65-D65=0,0)))</f>
        <v>#DIV/0!</v>
      </c>
      <c r="F65" s="136" t="e">
        <f>IF(AND(SUM(F$63:F64)&lt;$L$56,B65-C65-D65-E65&gt;0,B65-C65-D65-E65&lt;=$L$56),B65-C65-D65-E65,IF(B65-C65-D65-E65&gt;$L$56,$L$56-SUM(F$63:F64),IF(B65-C65-D65-E65=0,0)))</f>
        <v>#DIV/0!</v>
      </c>
      <c r="G65" s="136" t="e">
        <f>IF(AND(SUM(G$63:G64)&lt;306,B65-C65-D65-E65-F65&gt;0,B65-C65-D65-E65-F65&lt;=306,$B$49&lt;&gt;"Yes"),B65-C65-D65-E65-F65,IF(AND(B65-C65-D65-E65-F65&gt;306,$B$49&lt;&gt;"Yes"),306-SUM(G$63:G64),IF(OR(B65-C65-D65-E65-F65=0,$B$49="Yes"),0)))</f>
        <v>#DIV/0!</v>
      </c>
      <c r="H65" s="136" t="e">
        <f t="shared" si="0"/>
        <v>#DIV/0!</v>
      </c>
      <c r="I65" s="101"/>
      <c r="J65" s="35"/>
      <c r="K65" s="35"/>
      <c r="AC65" s="4"/>
      <c r="AD65" s="115"/>
      <c r="AE65" s="115"/>
      <c r="AF65" s="115"/>
      <c r="AG65" s="115"/>
      <c r="AH65" s="115"/>
      <c r="AI65" s="115"/>
      <c r="AJ65" s="115"/>
      <c r="AK65" s="115"/>
      <c r="AL65" s="101"/>
      <c r="AM65" s="101"/>
      <c r="AN65" s="101"/>
    </row>
    <row r="66" spans="1:40" x14ac:dyDescent="0.25">
      <c r="A66" s="135" t="s">
        <v>712</v>
      </c>
      <c r="B66" s="136" t="e">
        <f>$B$57/$B$51</f>
        <v>#DIV/0!</v>
      </c>
      <c r="C66" s="136" t="e">
        <f t="shared" ref="C66:C74" si="1">IF(AND(SUM(C64:C65)&lt;$B$53,D50&gt;B66),B66,D50)</f>
        <v>#DIV/0!</v>
      </c>
      <c r="D66" s="136" t="e">
        <f>IF(AND(SUM(D$63:D65)&lt;40,B66-C66&gt;0,B66-C66&lt;=40),B66-C66,IF(B66-C66&gt;40,40-SUM(D$63:D65),IF(B66-C66=0,0)))</f>
        <v>#DIV/0!</v>
      </c>
      <c r="E66" s="136" t="e">
        <f>IF(AND(SUM(E$63:E65)&lt;40,B66-C66-D66&gt;0,B66-C66-D66&lt;=40),B66-C66-D66,IF(B66-C66-D66&gt;40,40-SUM(E$63:E65),IF(B66-C66-D66=0,0)))</f>
        <v>#DIV/0!</v>
      </c>
      <c r="F66" s="136" t="e">
        <f>IF(AND(SUM(F$63:F65)&lt;$L$56,B66-C66-D66-E66&gt;0,B66-C66-D66-E66&lt;=$L$56),B66-C66-D66-E66,IF(B66-C66-D66-E66&gt;$L$56,$L$56-SUM(F$63:F65),IF(B66-C66-D66-E66=0,0)))</f>
        <v>#DIV/0!</v>
      </c>
      <c r="G66" s="136" t="e">
        <f>IF(AND(SUM(G$63:G65)&lt;306,B66-C66-D66-E66-F66&gt;0,B66-C66-D66-E66-F66&lt;=306,$B$49&lt;&gt;"Yes"),B66-C66-D66-E66-F66,IF(AND(B66-C66-D66-E66-F66&gt;306,$B$49&lt;&gt;"Yes"),306-SUM(G$63:G65),IF(OR(B66-C66-D66-E66-F66=0,$B$49="Yes"),0)))</f>
        <v>#DIV/0!</v>
      </c>
      <c r="H66" s="136" t="e">
        <f t="shared" si="0"/>
        <v>#DIV/0!</v>
      </c>
      <c r="I66" s="101"/>
      <c r="J66" s="35"/>
      <c r="K66" s="35"/>
      <c r="AC66" s="4"/>
      <c r="AD66" s="115"/>
      <c r="AE66" s="156"/>
      <c r="AF66" s="156"/>
      <c r="AG66" s="156"/>
      <c r="AH66" s="156"/>
      <c r="AI66" s="156"/>
      <c r="AJ66" s="156"/>
      <c r="AK66" s="156"/>
      <c r="AL66" s="101"/>
      <c r="AM66" s="101"/>
      <c r="AN66" s="101"/>
    </row>
    <row r="67" spans="1:40" x14ac:dyDescent="0.25">
      <c r="A67" s="135" t="s">
        <v>713</v>
      </c>
      <c r="B67" s="136" t="e">
        <f>$B$57/$B$51</f>
        <v>#DIV/0!</v>
      </c>
      <c r="C67" s="136" t="e">
        <f t="shared" si="1"/>
        <v>#DIV/0!</v>
      </c>
      <c r="D67" s="136" t="e">
        <f>IF(AND(SUM(D$63:D66)&lt;40,B67-C67&gt;0,B67-C67&lt;=40),B67-C67,IF(B67-C67&gt;40,40-SUM(D$63:D66),IF(B67-C67=0,0)))</f>
        <v>#DIV/0!</v>
      </c>
      <c r="E67" s="136" t="e">
        <f>IF(AND(SUM(E$63:E66)&lt;40,B67-C67-D67&gt;0,B67-C67-D67&lt;=40),B67-C67-D67,IF(B67-C67-D67&gt;40,40-SUM(E$63:E66),IF(B67-C67-D67=0,0)))</f>
        <v>#DIV/0!</v>
      </c>
      <c r="F67" s="136" t="e">
        <f>IF(AND(SUM(F$63:F66)&lt;$L$56,B67-C67-D67-E67&gt;0,B67-C67-D67-E67&lt;=$L$56),B67-C67-D67-E67,IF(B67-C67-D67-E67&gt;$L$56,$L$56-SUM(F$63:F66),IF(B67-C67-D67-E67=0,0)))</f>
        <v>#DIV/0!</v>
      </c>
      <c r="G67" s="136" t="e">
        <f>IF(AND(SUM(G$63:G66)&lt;306,B67-C67-D67-E67-F67&gt;0,B67-C67-D67-E67-F67&lt;=306,$B$49&lt;&gt;"Yes"),B67-C67-D67-E67-F67,IF(AND(B67-C67-D67-E67-F67&gt;306,$B$49&lt;&gt;"Yes"),306-SUM(G$63:G66),IF(OR(B67-C67-D67-E67-F67=0,$B$49="Yes"),0)))</f>
        <v>#DIV/0!</v>
      </c>
      <c r="H67" s="136" t="e">
        <f t="shared" si="0"/>
        <v>#DIV/0!</v>
      </c>
      <c r="I67" s="101"/>
      <c r="J67" s="35"/>
      <c r="K67" s="35"/>
      <c r="AC67" s="4"/>
      <c r="AD67" s="115"/>
      <c r="AE67" s="174"/>
      <c r="AF67" s="175"/>
      <c r="AG67" s="175"/>
      <c r="AH67" s="175"/>
      <c r="AI67" s="175"/>
      <c r="AJ67" s="175"/>
      <c r="AK67" s="175"/>
      <c r="AL67" s="101"/>
      <c r="AM67" s="101"/>
      <c r="AN67" s="101"/>
    </row>
    <row r="68" spans="1:40" x14ac:dyDescent="0.25">
      <c r="A68" s="135" t="s">
        <v>714</v>
      </c>
      <c r="B68" s="136" t="e">
        <f t="shared" ref="B68:B70" si="2">$B$57/$B$51</f>
        <v>#DIV/0!</v>
      </c>
      <c r="C68" s="136" t="e">
        <f t="shared" si="1"/>
        <v>#DIV/0!</v>
      </c>
      <c r="D68" s="136" t="e">
        <f>IF(AND(SUM(D$63:D67)&lt;40,B68-C68&gt;0,B68-C68&lt;=40),B68-C68,IF(B68-C68&gt;40,40-SUM(D$63:D67),IF(B68-C68=0,0)))</f>
        <v>#DIV/0!</v>
      </c>
      <c r="E68" s="136" t="e">
        <f>IF(AND(SUM(E$63:E67)&lt;40,B68-C68-D68&gt;0,B68-C68-D68&lt;=40),B68-C68-D68,IF(B68-C68-D68&gt;40,40-SUM(E$63:E67),IF(B68-C68-D68=0,0)))</f>
        <v>#DIV/0!</v>
      </c>
      <c r="F68" s="136" t="e">
        <f>IF(AND(SUM(F$63:F67)&lt;$L$56,B68-C68-D68-E68&gt;0,B68-C68-D68-E68&lt;=$L$56),B68-C68-D68-E68,IF(B68-C68-D68-E68&gt;$L$56,$L$56-SUM(F$63:F67),IF(B68-C68-D68-E68=0,0)))</f>
        <v>#DIV/0!</v>
      </c>
      <c r="G68" s="136" t="e">
        <f>IF(AND(SUM(G$63:G67)&lt;306,B68-C68-D68-E68-F68&gt;0,B68-C68-D68-E68-F68&lt;=306,$B$49&lt;&gt;"Yes"),B68-C68-D68-E68-F68,IF(AND(B68-C68-D68-E68-F68&gt;306,$B$49&lt;&gt;"Yes"),306-SUM(G$63:G67),IF(OR(B68-C68-D68-E68-F68=0,$B$49="Yes"),0)))</f>
        <v>#DIV/0!</v>
      </c>
      <c r="H68" s="136" t="e">
        <f t="shared" si="0"/>
        <v>#DIV/0!</v>
      </c>
      <c r="I68" s="101"/>
      <c r="J68" s="35"/>
      <c r="K68" s="35"/>
      <c r="AC68" s="4"/>
      <c r="AD68" s="115"/>
      <c r="AE68" s="15"/>
      <c r="AF68" s="115"/>
      <c r="AG68" s="115"/>
      <c r="AH68" s="115"/>
      <c r="AI68" s="115"/>
      <c r="AJ68" s="115"/>
      <c r="AK68" s="15"/>
      <c r="AL68" s="101"/>
      <c r="AM68" s="101"/>
      <c r="AN68" s="101"/>
    </row>
    <row r="69" spans="1:40" x14ac:dyDescent="0.25">
      <c r="A69" s="135" t="s">
        <v>715</v>
      </c>
      <c r="B69" s="136" t="e">
        <f t="shared" si="2"/>
        <v>#DIV/0!</v>
      </c>
      <c r="C69" s="136" t="e">
        <f t="shared" si="1"/>
        <v>#DIV/0!</v>
      </c>
      <c r="D69" s="136" t="e">
        <f>IF(AND(SUM(D$63:D68)&lt;40,B69-C69&gt;0,B69-C69&lt;=40),B69-C69,IF(B69-C69&gt;40,40-SUM(D$63:D68),IF(B69-C69=0,0)))</f>
        <v>#DIV/0!</v>
      </c>
      <c r="E69" s="136" t="e">
        <f>IF(AND(SUM(E$63:E68)&lt;40,B69-C69-D69&gt;0,B69-C69-D69&lt;=40),B69-C69-D69,IF(B69-C69-D69&gt;40,40-SUM(E$63:E68),IF(B69-C69-D69=0,0)))</f>
        <v>#DIV/0!</v>
      </c>
      <c r="F69" s="136" t="e">
        <f>IF(AND(SUM(F$63:F68)&lt;$L$56,B69-C69-D69-E69&gt;0,B69-C69-D69-E69&lt;=$L$56),B69-C69-D69-E69,IF(B69-C69-D69-E69&gt;$L$56,$L$56-SUM(F$63:F68),IF(B69-C69-D69-E69=0,0)))</f>
        <v>#DIV/0!</v>
      </c>
      <c r="G69" s="136" t="e">
        <f>IF(AND(SUM(G$63:G68)&lt;306,B69-C69-D69-E69-F69&gt;0,B69-C69-D69-E69-F69&lt;=306,$B$49&lt;&gt;"Yes"),B69-C69-D69-E69-F69,IF(AND(B69-C69-D69-E69-F69&gt;306,$B$49&lt;&gt;"Yes"),306-SUM(G$63:G68),IF(OR(B69-C69-D69-E69-F69=0,$B$49="Yes"),0)))</f>
        <v>#DIV/0!</v>
      </c>
      <c r="H69" s="136" t="e">
        <f t="shared" si="0"/>
        <v>#DIV/0!</v>
      </c>
      <c r="I69" s="101"/>
      <c r="J69" s="35"/>
      <c r="K69" s="35"/>
      <c r="AC69" s="4"/>
      <c r="AD69" s="115"/>
      <c r="AE69" s="115"/>
      <c r="AF69" s="115"/>
      <c r="AG69" s="115"/>
      <c r="AH69" s="115"/>
      <c r="AI69" s="115"/>
      <c r="AJ69" s="115"/>
      <c r="AK69" s="115"/>
      <c r="AL69" s="101"/>
      <c r="AM69" s="114">
        <v>1</v>
      </c>
      <c r="AN69" s="114">
        <v>1400</v>
      </c>
    </row>
    <row r="70" spans="1:40" x14ac:dyDescent="0.25">
      <c r="A70" s="135" t="s">
        <v>716</v>
      </c>
      <c r="B70" s="136" t="e">
        <f t="shared" si="2"/>
        <v>#DIV/0!</v>
      </c>
      <c r="C70" s="136" t="e">
        <f t="shared" si="1"/>
        <v>#DIV/0!</v>
      </c>
      <c r="D70" s="136" t="e">
        <f>IF(AND(SUM(D$63:D69)&lt;40,B70-C70&gt;0,B70-C70&lt;=40),B70-C70,IF(B70-C70&gt;40,40-SUM(D$63:D69),IF(B70-C70=0,0)))</f>
        <v>#DIV/0!</v>
      </c>
      <c r="E70" s="136" t="e">
        <f>IF(AND(SUM(E$63:E69)&lt;40,B70-C70-D70&gt;0,B70-C70-D70&lt;=40),B70-C70-D70,IF(B70-C70-D70&gt;40,40-SUM(E$63:E69),IF(B70-C70-D70=0,0)))</f>
        <v>#DIV/0!</v>
      </c>
      <c r="F70" s="136" t="e">
        <f>IF(AND(SUM(F$63:F69)&lt;$L$56,B70-C70-D70-E70&gt;0,B70-C70-D70-E70&lt;=$L$56),B70-C70-D70-E70,IF(B70-C70-D70-E70&gt;$L$56,$L$56-SUM(F$63:F69),IF(B70-C70-D70-E70=0,0)))</f>
        <v>#DIV/0!</v>
      </c>
      <c r="G70" s="136" t="e">
        <f>IF(AND(SUM(G$63:G69)&lt;306,B70-C70-D70-E70-F70&gt;0,B70-C70-D70-E70-F70&lt;=306,$B$49&lt;&gt;"Yes"),B70-C70-D70-E70-F70,IF(AND(B70-C70-D70-E70-F70&gt;306,$B$49&lt;&gt;"Yes"),306-SUM(G$63:G69),IF(OR(B70-C70-D70-E70-F70=0,$B$49="Yes"),0)))</f>
        <v>#DIV/0!</v>
      </c>
      <c r="H70" s="136" t="e">
        <f t="shared" si="0"/>
        <v>#DIV/0!</v>
      </c>
      <c r="I70" s="101"/>
      <c r="J70" s="35"/>
      <c r="K70" s="35"/>
      <c r="AC70" s="4"/>
      <c r="AD70" s="115"/>
      <c r="AE70" s="115"/>
      <c r="AF70" s="115"/>
      <c r="AG70" s="115"/>
      <c r="AH70" s="115"/>
      <c r="AI70" s="115"/>
      <c r="AJ70" s="115"/>
      <c r="AK70" s="115"/>
      <c r="AL70" s="101"/>
      <c r="AM70" s="114">
        <v>2</v>
      </c>
      <c r="AN70" s="114">
        <v>1600</v>
      </c>
    </row>
    <row r="71" spans="1:40" x14ac:dyDescent="0.25">
      <c r="A71" s="135" t="s">
        <v>782</v>
      </c>
      <c r="B71" s="136"/>
      <c r="C71" s="136" t="e">
        <f t="shared" si="1"/>
        <v>#DIV/0!</v>
      </c>
      <c r="D71" s="136" t="e">
        <f>IF(AND(SUM(D$63:D70)&lt;40,B71-C71&gt;0,B71-C71&lt;=40),B71-C71,IF(B71-C71&gt;40,40-SUM(D$63:D70),IF(B71-C71=0,0)))</f>
        <v>#DIV/0!</v>
      </c>
      <c r="E71" s="136" t="e">
        <f>IF(AND(SUM(E$63:E70)&lt;40,B71-C71-D71&gt;0,B71-C71-D71&lt;=40),B71-C71-D71,IF(B71-C71-D71&gt;40,40-SUM(E$63:E70),IF(B71-C71-D71=0,0)))</f>
        <v>#DIV/0!</v>
      </c>
      <c r="F71" s="136" t="e">
        <f>IF(AND(SUM(F$63:F70)&lt;$L$56,B71-C71-D71-E71&gt;0,B71-C71-D71-E71&lt;=$L$56),B71-C71-D71-E71,IF(B71-C71-D71-E71&gt;$L$56,$L$56-SUM(F$63:F70),IF(B71-C71-D71-E71=0,0)))</f>
        <v>#DIV/0!</v>
      </c>
      <c r="G71" s="136" t="e">
        <f>IF(AND(SUM(G$63:G70)&lt;306,B71-C71-D71-E71-F71&gt;0,B71-C71-D71-E71-F71&lt;=306,$B$49&lt;&gt;"Yes"),B71-C71-D71-E71-F71,IF(AND(B71-C71-D71-E71-F71&gt;306,$B$49&lt;&gt;"Yes"),306-SUM(G$63:G70),IF(OR(B71-C71-D71-E71-F71=0,$B$49="Yes"),0)))</f>
        <v>#DIV/0!</v>
      </c>
      <c r="H71" s="136" t="e">
        <f t="shared" si="0"/>
        <v>#DIV/0!</v>
      </c>
      <c r="I71" s="101"/>
      <c r="J71" s="35"/>
      <c r="K71" s="35"/>
      <c r="AC71" s="4"/>
      <c r="AD71" s="115"/>
      <c r="AE71" s="115"/>
      <c r="AF71" s="115"/>
      <c r="AG71" s="115"/>
      <c r="AH71" s="115"/>
      <c r="AI71" s="115"/>
      <c r="AJ71" s="115"/>
      <c r="AK71" s="115"/>
      <c r="AL71" s="101"/>
      <c r="AM71" s="114">
        <v>3</v>
      </c>
      <c r="AN71" s="114">
        <v>1800</v>
      </c>
    </row>
    <row r="72" spans="1:40" x14ac:dyDescent="0.25">
      <c r="A72" s="135" t="s">
        <v>783</v>
      </c>
      <c r="B72" s="136"/>
      <c r="C72" s="136" t="e">
        <f t="shared" si="1"/>
        <v>#DIV/0!</v>
      </c>
      <c r="D72" s="136" t="e">
        <f>IF(AND(SUM(D$63:D71)&lt;40,B72-C72&gt;0,B72-C72&lt;=40),B72-C72,IF(B72-C72&gt;40,40-SUM(D$63:D71),IF(B72-C72=0,0)))</f>
        <v>#DIV/0!</v>
      </c>
      <c r="E72" s="136" t="e">
        <f>IF(AND(SUM(E$63:E71)&lt;40,B72-C72-D72&gt;0,B72-C72-D72&lt;=40),B72-C72-D72,IF(B72-C72-D72&gt;40,40-SUM(E$63:E71),IF(B72-C72-D72=0,0)))</f>
        <v>#DIV/0!</v>
      </c>
      <c r="F72" s="136" t="e">
        <f>IF(AND(SUM(F$63:F71)&lt;$L$56,B72-C72-D72-E72&gt;0,B72-C72-D72-E72&lt;=$L$56),B72-C72-D72-E72,IF(B72-C72-D72-E72&gt;$L$56,$L$56-SUM(F$63:F71),IF(B72-C72-D72-E72=0,0)))</f>
        <v>#DIV/0!</v>
      </c>
      <c r="G72" s="136" t="e">
        <f>IF(AND(SUM(G$63:G71)&lt;306,B72-C72-D72-E72-F72&gt;0,B72-C72-D72-E72-F72&lt;=306,$B$49&lt;&gt;"Yes"),B72-C72-D72-E72-F72,IF(AND(B72-C72-D72-E72-F72&gt;306,$B$49&lt;&gt;"Yes"),306-SUM(G$63:G71),IF(OR(B72-C72-D72-E72-F72=0,$B$49="Yes"),0)))</f>
        <v>#DIV/0!</v>
      </c>
      <c r="H72" s="136" t="e">
        <f t="shared" si="0"/>
        <v>#DIV/0!</v>
      </c>
      <c r="I72" s="101"/>
      <c r="J72" s="35"/>
      <c r="K72" s="35"/>
      <c r="AC72" s="4"/>
      <c r="AD72" s="115"/>
      <c r="AE72" s="115"/>
      <c r="AF72" s="115"/>
      <c r="AG72" s="115"/>
      <c r="AH72" s="115"/>
      <c r="AI72" s="115"/>
      <c r="AJ72" s="115"/>
      <c r="AK72" s="115"/>
      <c r="AL72" s="101"/>
      <c r="AM72" s="114">
        <v>4</v>
      </c>
      <c r="AN72" s="114">
        <v>2000</v>
      </c>
    </row>
    <row r="73" spans="1:40" x14ac:dyDescent="0.25">
      <c r="A73" s="135" t="s">
        <v>784</v>
      </c>
      <c r="B73" s="136"/>
      <c r="C73" s="136" t="e">
        <f t="shared" si="1"/>
        <v>#DIV/0!</v>
      </c>
      <c r="D73" s="136" t="e">
        <f>IF(AND(SUM(D$63:D72)&lt;40,B73-C73&gt;0,B73-C73&lt;=40),B73-C73,IF(B73-C73&gt;40,40-SUM(D$63:D72),IF(B73-C73=0,0)))</f>
        <v>#DIV/0!</v>
      </c>
      <c r="E73" s="136" t="e">
        <f>IF(AND(SUM(E$63:E72)&lt;40,B73-C73-D73&gt;0,B73-C73-D73&lt;=40),B73-C73-D73,IF(B73-C73-D73&gt;40,40-SUM(E$63:E72),IF(B73-C73-D73=0,0)))</f>
        <v>#DIV/0!</v>
      </c>
      <c r="F73" s="136" t="e">
        <f>IF(AND(SUM(F$63:F72)&lt;$L$56,B73-C73-D73-E73&gt;0,B73-C73-D73-E73&lt;=$L$56),B73-C73-D73-E73,IF(B73-C73-D73-E73&gt;$L$56,$L$56-SUM(F$63:F72),IF(B73-C73-D73-E73=0,0)))</f>
        <v>#DIV/0!</v>
      </c>
      <c r="G73" s="136" t="e">
        <f>IF(AND(SUM(G$63:G72)&lt;306,B73-C73-D73-E73-F73&gt;0,B73-C73-D73-E73-F73&lt;=306,$B$49&lt;&gt;"Yes"),B73-C73-D73-E73-F73,IF(AND(B73-C73-D73-E73-F73&gt;306,$B$49&lt;&gt;"Yes"),306-SUM(G$63:G72),IF(OR(B73-C73-D73-E73-F73=0,$B$49="Yes"),0)))</f>
        <v>#DIV/0!</v>
      </c>
      <c r="H73" s="136" t="e">
        <f t="shared" si="0"/>
        <v>#DIV/0!</v>
      </c>
      <c r="I73" s="101"/>
      <c r="J73" s="35"/>
      <c r="K73" s="35"/>
      <c r="AC73" s="4"/>
      <c r="AD73" s="115"/>
      <c r="AE73" s="115"/>
      <c r="AF73" s="115"/>
      <c r="AG73" s="115"/>
      <c r="AH73" s="115"/>
      <c r="AI73" s="115"/>
      <c r="AJ73" s="115"/>
      <c r="AK73" s="115"/>
      <c r="AL73" s="101"/>
      <c r="AM73" s="101"/>
      <c r="AN73" s="101"/>
    </row>
    <row r="74" spans="1:40" x14ac:dyDescent="0.25">
      <c r="A74" s="135" t="s">
        <v>785</v>
      </c>
      <c r="B74" s="136"/>
      <c r="C74" s="136" t="e">
        <f t="shared" si="1"/>
        <v>#DIV/0!</v>
      </c>
      <c r="D74" s="136" t="e">
        <f>IF(AND(SUM(D$63:D73)&lt;40,B74-C74&gt;0,B74-C74&lt;=40),B74-C74,IF(B74-C74&gt;40,40-SUM(D$63:D73),IF(B74-C74=0,0)))</f>
        <v>#DIV/0!</v>
      </c>
      <c r="E74" s="136" t="e">
        <f>IF(AND(SUM(E$63:E73)&lt;40,B74-C74-D74&gt;0,B74-C74-D74&lt;=40),B74-C74-D74,IF(B74-C74-D74&gt;40,40-SUM(E$63:E73),IF(B74-C74-D74=0,0)))</f>
        <v>#DIV/0!</v>
      </c>
      <c r="F74" s="136" t="e">
        <f>IF(AND(SUM(F$63:F73)&lt;$L$56,B74-C74-D74-E74&gt;0,B74-C74-D74-E74&lt;=$L$56),B74-C74-D74-E74,IF(B74-C74-D74-E74&gt;$L$56,$L$56-SUM(F$63:F73),IF(B74-C74-D74-E74=0,0)))</f>
        <v>#DIV/0!</v>
      </c>
      <c r="G74" s="136" t="e">
        <f>IF(AND(SUM(G$63:G73)&lt;306,B74-C74-D74-E74-F74&gt;0,B74-C74-D74-E74-F74&lt;=306,$B$49&lt;&gt;"Yes"),B74-C74-D74-E74-F74,IF(AND(B74-C74-D74-E74-F74&gt;306,$B$49&lt;&gt;"Yes"),306-SUM(G$63:G73),IF(OR(B74-C74-D74-E74-F74=0,$B$49="Yes"),0)))</f>
        <v>#DIV/0!</v>
      </c>
      <c r="H74" s="136" t="e">
        <f t="shared" si="0"/>
        <v>#DIV/0!</v>
      </c>
      <c r="AC74" s="4"/>
      <c r="AD74" s="115"/>
      <c r="AE74" s="115"/>
      <c r="AF74" s="115"/>
      <c r="AG74" s="115"/>
      <c r="AH74" s="115"/>
      <c r="AI74" s="115"/>
      <c r="AJ74" s="115"/>
      <c r="AK74" s="115"/>
      <c r="AL74" s="101"/>
      <c r="AM74" s="101"/>
      <c r="AN74" s="101"/>
    </row>
    <row r="75" spans="1:40" x14ac:dyDescent="0.25">
      <c r="AC75" s="4"/>
      <c r="AD75" s="115"/>
      <c r="AE75" s="115"/>
      <c r="AF75" s="115"/>
      <c r="AG75" s="115"/>
      <c r="AH75" s="115"/>
      <c r="AI75" s="115"/>
      <c r="AJ75" s="115"/>
      <c r="AK75" s="115"/>
      <c r="AL75" s="101"/>
      <c r="AM75" s="101"/>
      <c r="AN75" s="101"/>
    </row>
    <row r="76" spans="1:40" x14ac:dyDescent="0.25">
      <c r="AC76" s="4"/>
      <c r="AD76" s="115"/>
      <c r="AE76" s="115"/>
      <c r="AF76" s="173"/>
      <c r="AG76" s="173"/>
      <c r="AH76" s="173"/>
      <c r="AI76" s="173"/>
      <c r="AJ76" s="173"/>
      <c r="AK76" s="173"/>
      <c r="AL76" s="101"/>
      <c r="AM76" s="114">
        <v>1</v>
      </c>
      <c r="AN76" s="114">
        <v>52</v>
      </c>
    </row>
    <row r="77" spans="1:40" ht="15.75" thickBot="1" x14ac:dyDescent="0.3">
      <c r="B77" s="138" t="e">
        <f t="shared" ref="B77:C77" si="3">SUM(B63:B74)</f>
        <v>#DIV/0!</v>
      </c>
      <c r="C77" s="138" t="e">
        <f t="shared" si="3"/>
        <v>#DIV/0!</v>
      </c>
      <c r="D77" s="138" t="e">
        <f>SUM(D63:D74)</f>
        <v>#DIV/0!</v>
      </c>
      <c r="E77" s="138" t="e">
        <f t="shared" ref="E77:H77" si="4">SUM(E63:E74)</f>
        <v>#DIV/0!</v>
      </c>
      <c r="F77" s="138" t="e">
        <f t="shared" si="4"/>
        <v>#DIV/0!</v>
      </c>
      <c r="G77" s="138" t="e">
        <f t="shared" si="4"/>
        <v>#DIV/0!</v>
      </c>
      <c r="H77" s="138" t="e">
        <f t="shared" si="4"/>
        <v>#DIV/0!</v>
      </c>
      <c r="AC77" s="4"/>
      <c r="AD77" s="115"/>
      <c r="AE77" s="115"/>
      <c r="AF77" s="115"/>
      <c r="AG77" s="115"/>
      <c r="AH77" s="115"/>
      <c r="AI77" s="115"/>
      <c r="AJ77" s="115"/>
      <c r="AK77" s="115"/>
      <c r="AL77" s="101"/>
      <c r="AM77" s="114">
        <v>2</v>
      </c>
      <c r="AN77" s="114">
        <v>26</v>
      </c>
    </row>
    <row r="78" spans="1:40" ht="15.75" thickTop="1" x14ac:dyDescent="0.25">
      <c r="B78" s="4"/>
      <c r="C78" s="4"/>
      <c r="D78" s="4"/>
      <c r="E78" s="4"/>
      <c r="F78" s="115"/>
      <c r="G78" s="4"/>
      <c r="H78" s="4" t="e">
        <f>SUM(C77:G77)</f>
        <v>#DIV/0!</v>
      </c>
      <c r="AC78" s="4"/>
      <c r="AD78" s="115"/>
      <c r="AE78" s="173"/>
      <c r="AF78" s="173"/>
      <c r="AG78" s="173"/>
      <c r="AH78" s="173"/>
      <c r="AI78" s="173"/>
      <c r="AJ78" s="173"/>
      <c r="AK78" s="173"/>
      <c r="AL78" s="101"/>
      <c r="AM78" s="114">
        <v>3</v>
      </c>
      <c r="AN78" s="114">
        <v>24</v>
      </c>
    </row>
    <row r="79" spans="1:40" x14ac:dyDescent="0.25">
      <c r="AC79" s="4"/>
      <c r="AD79" s="115"/>
      <c r="AE79" s="115"/>
      <c r="AF79" s="115"/>
      <c r="AG79" s="115"/>
      <c r="AH79" s="115"/>
      <c r="AI79" s="115"/>
      <c r="AJ79" s="115"/>
      <c r="AK79" s="115"/>
      <c r="AL79" s="101"/>
      <c r="AM79" s="114">
        <v>4</v>
      </c>
      <c r="AN79" s="114">
        <v>12</v>
      </c>
    </row>
    <row r="80" spans="1:40" x14ac:dyDescent="0.25">
      <c r="AC80" s="4"/>
      <c r="AD80" s="115"/>
      <c r="AE80" s="157"/>
      <c r="AF80" s="115"/>
      <c r="AG80" s="115"/>
      <c r="AH80" s="115"/>
      <c r="AI80" s="115"/>
      <c r="AJ80" s="115"/>
      <c r="AK80" s="115"/>
      <c r="AL80" s="101"/>
      <c r="AM80" s="101"/>
      <c r="AN80" s="101"/>
    </row>
    <row r="81" spans="1:40" x14ac:dyDescent="0.25">
      <c r="A81" t="s">
        <v>868</v>
      </c>
      <c r="B81" t="s">
        <v>871</v>
      </c>
      <c r="C81" t="s">
        <v>341</v>
      </c>
      <c r="D81" t="s">
        <v>872</v>
      </c>
      <c r="E81" t="s">
        <v>873</v>
      </c>
      <c r="AC81" s="4"/>
      <c r="AD81" s="115"/>
      <c r="AE81" s="157"/>
      <c r="AF81" s="115"/>
      <c r="AG81" s="115"/>
      <c r="AH81" s="115"/>
      <c r="AI81" s="115"/>
      <c r="AJ81" s="115"/>
      <c r="AK81" s="115"/>
      <c r="AL81" s="101"/>
      <c r="AM81" s="101"/>
      <c r="AN81" s="101"/>
    </row>
    <row r="82" spans="1:40" x14ac:dyDescent="0.25">
      <c r="A82" s="11"/>
      <c r="B82" s="182"/>
      <c r="C82" s="11"/>
      <c r="D82" s="11"/>
      <c r="E82" s="11"/>
      <c r="AC82" s="4"/>
      <c r="AD82" s="115"/>
      <c r="AE82" s="157"/>
      <c r="AF82" s="115"/>
      <c r="AG82" s="115"/>
      <c r="AH82" s="115"/>
      <c r="AI82" s="115"/>
      <c r="AJ82" s="115"/>
      <c r="AK82" s="115"/>
      <c r="AL82" s="101"/>
      <c r="AM82" s="101"/>
      <c r="AN82" s="101"/>
    </row>
    <row r="83" spans="1:40" x14ac:dyDescent="0.25">
      <c r="A83" s="11"/>
      <c r="B83" s="182"/>
      <c r="C83" s="11"/>
      <c r="D83" s="11"/>
      <c r="E83" s="11"/>
      <c r="AC83" s="4"/>
      <c r="AD83" s="115"/>
      <c r="AE83" s="157"/>
      <c r="AF83" s="115"/>
      <c r="AG83" s="115"/>
      <c r="AH83" s="115"/>
      <c r="AI83" s="115"/>
      <c r="AJ83" s="115"/>
      <c r="AK83" s="115"/>
      <c r="AL83" s="101"/>
      <c r="AM83" s="101"/>
      <c r="AN83" s="101"/>
    </row>
    <row r="84" spans="1:40" x14ac:dyDescent="0.25">
      <c r="A84" s="11"/>
      <c r="B84" s="182"/>
      <c r="C84" s="11"/>
      <c r="D84" s="11"/>
      <c r="E84" s="11"/>
      <c r="AC84" s="4"/>
      <c r="AD84" s="115"/>
      <c r="AE84" s="157"/>
      <c r="AF84" s="115"/>
      <c r="AG84" s="115"/>
      <c r="AH84" s="115"/>
      <c r="AI84" s="115"/>
      <c r="AJ84" s="115"/>
      <c r="AK84" s="115"/>
      <c r="AL84" s="101"/>
      <c r="AM84" s="101"/>
      <c r="AN84" s="101"/>
    </row>
    <row r="85" spans="1:40" x14ac:dyDescent="0.25">
      <c r="A85" s="11"/>
      <c r="B85" s="182"/>
      <c r="C85" s="11"/>
      <c r="D85" s="11"/>
      <c r="E85" s="11"/>
      <c r="AC85" s="4"/>
      <c r="AD85" s="115"/>
      <c r="AE85" s="157"/>
      <c r="AF85" s="115"/>
      <c r="AG85" s="115"/>
      <c r="AH85" s="115"/>
      <c r="AI85" s="115"/>
      <c r="AJ85" s="115"/>
      <c r="AK85" s="115"/>
      <c r="AL85" s="101"/>
      <c r="AM85" s="101"/>
      <c r="AN85" s="101"/>
    </row>
    <row r="86" spans="1:40" x14ac:dyDescent="0.25">
      <c r="A86" s="11"/>
      <c r="B86" s="182"/>
      <c r="C86" s="11"/>
      <c r="D86" s="11"/>
      <c r="E86" s="11"/>
      <c r="AC86" s="4"/>
      <c r="AD86" s="115"/>
      <c r="AE86" s="157"/>
      <c r="AF86" s="115"/>
      <c r="AG86" s="115"/>
      <c r="AH86" s="115"/>
      <c r="AI86" s="115"/>
      <c r="AJ86" s="115"/>
      <c r="AK86" s="115"/>
      <c r="AL86" s="101"/>
      <c r="AM86" s="101"/>
      <c r="AN86" s="101"/>
    </row>
    <row r="87" spans="1:40" x14ac:dyDescent="0.25">
      <c r="A87" s="11"/>
      <c r="B87" s="182"/>
      <c r="C87" s="11"/>
      <c r="D87" s="11"/>
      <c r="E87" s="11"/>
      <c r="AC87" s="4"/>
      <c r="AD87" s="115"/>
      <c r="AE87" s="157"/>
      <c r="AF87" s="115"/>
      <c r="AG87" s="115"/>
      <c r="AH87" s="115"/>
      <c r="AI87" s="115"/>
      <c r="AJ87" s="115"/>
      <c r="AK87" s="115"/>
      <c r="AL87" s="101"/>
      <c r="AM87" s="101"/>
      <c r="AN87" s="101"/>
    </row>
    <row r="88" spans="1:40" x14ac:dyDescent="0.25">
      <c r="A88" s="11"/>
      <c r="B88" s="182"/>
      <c r="C88" s="11"/>
      <c r="D88" s="11"/>
      <c r="E88" s="11"/>
      <c r="AC88" s="4"/>
      <c r="AD88" s="115"/>
      <c r="AE88" s="157"/>
      <c r="AF88" s="115"/>
      <c r="AG88" s="115"/>
      <c r="AH88" s="115"/>
      <c r="AI88" s="115"/>
      <c r="AJ88" s="115"/>
      <c r="AK88" s="115"/>
      <c r="AL88" s="101"/>
      <c r="AM88" s="101"/>
      <c r="AN88" s="101"/>
    </row>
    <row r="89" spans="1:40" x14ac:dyDescent="0.25">
      <c r="A89" s="11"/>
      <c r="B89" s="182"/>
      <c r="C89" s="11"/>
      <c r="D89" s="11"/>
      <c r="E89" s="11"/>
      <c r="AC89" s="4"/>
      <c r="AD89" s="115"/>
      <c r="AE89" s="157"/>
      <c r="AF89" s="115"/>
      <c r="AG89" s="115"/>
      <c r="AH89" s="115"/>
      <c r="AI89" s="115"/>
      <c r="AJ89" s="115"/>
      <c r="AK89" s="115"/>
      <c r="AL89" s="101"/>
      <c r="AM89" s="101"/>
      <c r="AN89" s="101"/>
    </row>
    <row r="90" spans="1:40" x14ac:dyDescent="0.25">
      <c r="A90" s="11"/>
      <c r="B90" s="182"/>
      <c r="C90" s="11"/>
      <c r="D90" s="11"/>
      <c r="E90" s="11"/>
      <c r="AC90" s="4"/>
      <c r="AD90" s="115"/>
      <c r="AE90" s="157"/>
      <c r="AF90" s="115"/>
      <c r="AG90" s="115"/>
      <c r="AH90" s="115"/>
      <c r="AI90" s="115"/>
      <c r="AJ90" s="115"/>
      <c r="AK90" s="115"/>
      <c r="AL90" s="101"/>
      <c r="AM90" s="101"/>
      <c r="AN90" s="101"/>
    </row>
    <row r="91" spans="1:40" x14ac:dyDescent="0.25">
      <c r="A91" s="11"/>
      <c r="B91" s="182"/>
      <c r="C91" s="11"/>
      <c r="D91" s="11"/>
      <c r="E91" s="11"/>
      <c r="AC91" s="4"/>
      <c r="AD91" s="115"/>
      <c r="AE91" s="157"/>
      <c r="AF91" s="115"/>
      <c r="AG91" s="115"/>
      <c r="AH91" s="115"/>
      <c r="AI91" s="115"/>
      <c r="AJ91" s="115"/>
      <c r="AK91" s="115"/>
      <c r="AL91" s="101"/>
      <c r="AM91" s="101"/>
      <c r="AN91" s="101"/>
    </row>
    <row r="92" spans="1:40" x14ac:dyDescent="0.25">
      <c r="A92" s="11"/>
      <c r="B92" s="182"/>
      <c r="C92" s="11"/>
      <c r="D92" s="11"/>
      <c r="E92" s="11"/>
      <c r="AC92" s="4"/>
      <c r="AD92" s="115"/>
      <c r="AE92" s="157"/>
      <c r="AF92" s="115"/>
      <c r="AG92" s="115"/>
      <c r="AH92" s="115"/>
      <c r="AI92" s="115"/>
      <c r="AJ92" s="115"/>
      <c r="AK92" s="115"/>
      <c r="AL92" s="101"/>
      <c r="AM92" s="101"/>
      <c r="AN92" s="101"/>
    </row>
    <row r="93" spans="1:40" x14ac:dyDescent="0.25">
      <c r="A93" s="11"/>
      <c r="B93" s="182"/>
      <c r="C93" s="11"/>
      <c r="D93" s="11"/>
      <c r="E93" s="11"/>
      <c r="AC93" s="4"/>
      <c r="AD93" s="115"/>
      <c r="AE93" s="157"/>
      <c r="AF93" s="115"/>
      <c r="AG93" s="115"/>
      <c r="AH93" s="115"/>
      <c r="AI93" s="115"/>
      <c r="AJ93" s="115"/>
      <c r="AK93" s="115"/>
      <c r="AL93" s="101"/>
      <c r="AM93" s="101"/>
      <c r="AN93" s="101"/>
    </row>
    <row r="94" spans="1:40" x14ac:dyDescent="0.25">
      <c r="A94" s="11"/>
      <c r="B94" s="182"/>
      <c r="C94" s="11"/>
      <c r="D94" s="11"/>
      <c r="E94" s="11"/>
      <c r="AC94" s="4"/>
      <c r="AD94" s="115"/>
      <c r="AE94" s="157"/>
      <c r="AF94" s="115"/>
      <c r="AG94" s="115"/>
      <c r="AH94" s="115"/>
      <c r="AI94" s="115"/>
      <c r="AJ94" s="115"/>
      <c r="AK94" s="115"/>
      <c r="AL94" s="101"/>
      <c r="AM94" s="101"/>
      <c r="AN94" s="101"/>
    </row>
    <row r="95" spans="1:40" x14ac:dyDescent="0.25">
      <c r="A95" s="11"/>
      <c r="B95" s="182"/>
      <c r="C95" s="11"/>
      <c r="D95" s="11"/>
      <c r="E95" s="11"/>
      <c r="AC95" s="4"/>
      <c r="AD95" s="115"/>
      <c r="AE95" s="157"/>
      <c r="AF95" s="115"/>
      <c r="AG95" s="115"/>
      <c r="AH95" s="115"/>
      <c r="AI95" s="115"/>
      <c r="AJ95" s="115"/>
      <c r="AK95" s="115"/>
      <c r="AL95" s="101"/>
      <c r="AM95" s="101"/>
      <c r="AN95" s="101"/>
    </row>
    <row r="96" spans="1:40" x14ac:dyDescent="0.25">
      <c r="A96" s="11"/>
      <c r="B96" s="182"/>
      <c r="C96" s="11"/>
      <c r="D96" s="11"/>
      <c r="E96" s="11"/>
      <c r="AC96" s="4"/>
      <c r="AD96" s="115"/>
      <c r="AE96" s="157"/>
      <c r="AF96" s="115"/>
      <c r="AG96" s="115"/>
      <c r="AH96" s="115"/>
      <c r="AI96" s="115"/>
      <c r="AJ96" s="115"/>
      <c r="AK96" s="115"/>
      <c r="AL96" s="101"/>
      <c r="AM96" s="101"/>
      <c r="AN96" s="101"/>
    </row>
    <row r="97" spans="1:40" x14ac:dyDescent="0.25">
      <c r="A97" s="11"/>
      <c r="B97" s="182"/>
      <c r="C97" s="11"/>
      <c r="D97" s="11"/>
      <c r="E97" s="11"/>
      <c r="AC97" s="4"/>
      <c r="AD97" s="115"/>
      <c r="AE97" s="157"/>
      <c r="AF97" s="115"/>
      <c r="AG97" s="115"/>
      <c r="AH97" s="115"/>
      <c r="AI97" s="115"/>
      <c r="AJ97" s="115"/>
      <c r="AK97" s="115"/>
      <c r="AL97" s="101"/>
      <c r="AM97" s="101"/>
      <c r="AN97" s="101"/>
    </row>
    <row r="98" spans="1:40" x14ac:dyDescent="0.25">
      <c r="A98" s="11"/>
      <c r="B98" s="182"/>
      <c r="C98" s="11"/>
      <c r="D98" s="11"/>
      <c r="E98" s="11"/>
      <c r="AC98" s="4"/>
      <c r="AD98" s="115"/>
      <c r="AE98" s="157"/>
      <c r="AF98" s="115"/>
      <c r="AG98" s="115"/>
      <c r="AH98" s="115"/>
      <c r="AI98" s="115"/>
      <c r="AJ98" s="115"/>
      <c r="AK98" s="115"/>
      <c r="AL98" s="101"/>
      <c r="AM98" s="101"/>
      <c r="AN98" s="101"/>
    </row>
    <row r="99" spans="1:40" x14ac:dyDescent="0.25">
      <c r="A99" s="11"/>
      <c r="B99" s="182"/>
      <c r="C99" s="11"/>
      <c r="D99" s="11"/>
      <c r="E99" s="11"/>
      <c r="AC99" s="4"/>
      <c r="AD99" s="115"/>
      <c r="AE99" s="157"/>
      <c r="AF99" s="115"/>
      <c r="AG99" s="115"/>
      <c r="AH99" s="115"/>
      <c r="AI99" s="115"/>
      <c r="AJ99" s="115"/>
      <c r="AK99" s="115"/>
      <c r="AL99" s="101"/>
      <c r="AM99" s="101"/>
      <c r="AN99" s="101"/>
    </row>
    <row r="100" spans="1:40" x14ac:dyDescent="0.25">
      <c r="A100" s="11"/>
      <c r="B100" s="182"/>
      <c r="C100" s="11"/>
      <c r="D100" s="11"/>
      <c r="E100" s="11"/>
      <c r="AC100" s="4"/>
      <c r="AD100" s="115"/>
      <c r="AE100" s="157"/>
      <c r="AF100" s="115"/>
      <c r="AG100" s="115"/>
      <c r="AH100" s="115"/>
      <c r="AI100" s="115"/>
      <c r="AJ100" s="115"/>
      <c r="AK100" s="115"/>
      <c r="AL100" s="101"/>
      <c r="AM100" s="101"/>
      <c r="AN100" s="101"/>
    </row>
    <row r="101" spans="1:40" x14ac:dyDescent="0.25">
      <c r="A101" s="11"/>
      <c r="B101" s="182"/>
      <c r="C101" s="11"/>
      <c r="D101" s="11"/>
      <c r="E101" s="11"/>
      <c r="AC101" s="4"/>
      <c r="AD101" s="115"/>
      <c r="AE101" s="157"/>
      <c r="AF101" s="115"/>
      <c r="AG101" s="115"/>
      <c r="AH101" s="115"/>
      <c r="AI101" s="115"/>
      <c r="AJ101" s="115"/>
      <c r="AK101" s="115"/>
      <c r="AL101" s="101"/>
      <c r="AM101" s="101"/>
      <c r="AN101" s="101"/>
    </row>
    <row r="102" spans="1:40" ht="15.75" thickBot="1" x14ac:dyDescent="0.3">
      <c r="A102" s="11"/>
      <c r="B102" s="182"/>
      <c r="C102" s="11"/>
      <c r="D102" s="11"/>
      <c r="E102" s="11"/>
      <c r="AC102" s="4"/>
      <c r="AD102" s="115"/>
      <c r="AE102" s="157"/>
      <c r="AF102" s="115"/>
      <c r="AG102" s="115"/>
      <c r="AH102" s="115"/>
      <c r="AI102" s="115"/>
      <c r="AJ102" s="115"/>
      <c r="AK102" s="115"/>
      <c r="AL102" s="101"/>
      <c r="AM102" s="101"/>
      <c r="AN102" s="101"/>
    </row>
    <row r="103" spans="1:40" x14ac:dyDescent="0.25">
      <c r="AC103" s="169"/>
      <c r="AD103" s="158"/>
      <c r="AE103" s="159"/>
      <c r="AF103" s="160"/>
      <c r="AG103" s="161"/>
      <c r="AH103" s="162"/>
      <c r="AI103" s="160"/>
      <c r="AJ103" s="163"/>
      <c r="AK103" s="115"/>
      <c r="AL103" s="101"/>
      <c r="AM103" s="101"/>
      <c r="AN103" s="101"/>
    </row>
    <row r="104" spans="1:40" x14ac:dyDescent="0.25">
      <c r="AC104" s="166"/>
      <c r="AD104" s="164"/>
      <c r="AE104" s="165"/>
      <c r="AF104" s="165"/>
      <c r="AG104" s="165"/>
      <c r="AH104" s="166"/>
      <c r="AI104" s="165"/>
      <c r="AJ104" s="167"/>
      <c r="AK104" s="115"/>
      <c r="AL104" s="101"/>
      <c r="AM104" s="101"/>
      <c r="AN104" s="101"/>
    </row>
    <row r="105" spans="1:40" x14ac:dyDescent="0.25">
      <c r="A105" s="171" t="s">
        <v>750</v>
      </c>
      <c r="B105" s="171" t="s">
        <v>751</v>
      </c>
      <c r="C105" s="171" t="s">
        <v>752</v>
      </c>
      <c r="D105" s="171" t="s">
        <v>753</v>
      </c>
      <c r="E105" s="171" t="s">
        <v>754</v>
      </c>
      <c r="F105" s="171" t="s">
        <v>755</v>
      </c>
      <c r="G105" s="171" t="s">
        <v>17</v>
      </c>
      <c r="H105" s="171" t="s">
        <v>756</v>
      </c>
      <c r="I105" s="171" t="s">
        <v>15</v>
      </c>
      <c r="J105" s="171" t="s">
        <v>776</v>
      </c>
      <c r="K105" s="171" t="s">
        <v>777</v>
      </c>
      <c r="L105" s="171" t="s">
        <v>778</v>
      </c>
      <c r="M105" s="171" t="s">
        <v>757</v>
      </c>
      <c r="N105" s="171" t="s">
        <v>758</v>
      </c>
      <c r="O105" s="176" t="s">
        <v>759</v>
      </c>
      <c r="P105" s="176" t="s">
        <v>760</v>
      </c>
      <c r="Q105" s="171" t="s">
        <v>8</v>
      </c>
      <c r="R105" s="171" t="s">
        <v>761</v>
      </c>
      <c r="S105" s="171" t="s">
        <v>762</v>
      </c>
      <c r="T105" s="171" t="s">
        <v>763</v>
      </c>
      <c r="U105" s="171" t="s">
        <v>14</v>
      </c>
      <c r="V105" s="171" t="s">
        <v>764</v>
      </c>
      <c r="W105" s="176" t="s">
        <v>765</v>
      </c>
      <c r="X105" s="176" t="s">
        <v>766</v>
      </c>
      <c r="Y105" s="171" t="s">
        <v>767</v>
      </c>
      <c r="Z105" s="171" t="s">
        <v>768</v>
      </c>
      <c r="AA105" s="171" t="s">
        <v>769</v>
      </c>
      <c r="AB105" s="171" t="s">
        <v>770</v>
      </c>
      <c r="AC105" s="171" t="s">
        <v>771</v>
      </c>
      <c r="AD105" s="171" t="s">
        <v>772</v>
      </c>
      <c r="AE105" s="171" t="s">
        <v>773</v>
      </c>
      <c r="AF105" s="171" t="s">
        <v>774</v>
      </c>
      <c r="AG105" s="171" t="s">
        <v>775</v>
      </c>
      <c r="AH105" s="172" t="s">
        <v>798</v>
      </c>
      <c r="AI105" s="171" t="s">
        <v>329</v>
      </c>
      <c r="AJ105" s="171" t="s">
        <v>330</v>
      </c>
      <c r="AL105" s="101"/>
      <c r="AM105" s="101"/>
      <c r="AN105" s="101"/>
    </row>
    <row r="106" spans="1:40" x14ac:dyDescent="0.25">
      <c r="A106" s="117">
        <f>Basic!$D$9</f>
        <v>0</v>
      </c>
      <c r="B106" s="117" t="str">
        <f>IF(Basic!$D$21&gt;0,Basic!$D$21," ")</f>
        <v xml:space="preserve"> </v>
      </c>
      <c r="C106" s="117" t="str">
        <f>IF(Basic!$E$9&gt;0,Basic!$E$9," ")</f>
        <v xml:space="preserve"> </v>
      </c>
      <c r="D106" s="117" t="str">
        <f>IF(Basic!$E$21&gt;0,Basic!$E$21," ")</f>
        <v xml:space="preserve"> </v>
      </c>
      <c r="E106" s="117" t="str">
        <f>IF(Basic!$D$10&gt;0,Basic!$D$10," ")</f>
        <v xml:space="preserve"> </v>
      </c>
      <c r="F106" s="117" t="str">
        <f>IF(Basic!$D$11&gt;0,Basic!$D$11," ")</f>
        <v xml:space="preserve"> </v>
      </c>
      <c r="G106" s="117" t="str">
        <f>IF(Basic!$D$13&gt;0,Basic!$D$13," ")</f>
        <v xml:space="preserve"> </v>
      </c>
      <c r="H106" s="117" t="str">
        <f>IF(Basic!$D$14&gt;0,Basic!$D$14," ")</f>
        <v xml:space="preserve"> </v>
      </c>
      <c r="I106" s="170" t="str">
        <f>IF(Basic!$D$15&gt;0,Basic!$D$15," ")</f>
        <v xml:space="preserve"> </v>
      </c>
      <c r="J106" s="14" t="str">
        <f>IF(Basic!$D$18&gt;0,Basic!$D$18," ")</f>
        <v xml:space="preserve"> </v>
      </c>
      <c r="K106" s="14" t="str">
        <f>IF(Basic!$E$18&gt;0,Basic!$E$18," ")</f>
        <v xml:space="preserve"> </v>
      </c>
      <c r="L106" s="14" t="str">
        <f>IF(Basic!$D$17&gt;0,Basic!$D$17," ")</f>
        <v xml:space="preserve"> </v>
      </c>
      <c r="M106" s="14" t="str">
        <f>IF(Basic!$D$19&gt;0,Basic!$D$19," ")</f>
        <v xml:space="preserve"> </v>
      </c>
      <c r="N106" s="117" t="str">
        <f>IF(Basic!$E$19&gt;0,Basic!$E$19," ")</f>
        <v xml:space="preserve"> </v>
      </c>
      <c r="O106" s="117" t="str">
        <f>IF(Basic!$D$20&gt;0,Basic!$D$20," ")</f>
        <v xml:space="preserve"> </v>
      </c>
      <c r="P106" s="117" t="str">
        <f>IF(Basic!$E$20&gt;0,Basic!$E$20," ")</f>
        <v xml:space="preserve"> </v>
      </c>
      <c r="Q106" s="117" t="str">
        <f>IF(Basic!$D$22&gt;0,Basic!$D$22," ")</f>
        <v xml:space="preserve"> </v>
      </c>
      <c r="R106" s="117" t="str">
        <f>IF(Basic!$E$22&gt;0,Basic!$E$22," ")</f>
        <v xml:space="preserve"> </v>
      </c>
      <c r="S106" s="117" t="str">
        <f>IF(Basic!$D$23&gt;0,Basic!$D$23," ")</f>
        <v xml:space="preserve"> </v>
      </c>
      <c r="T106" s="117" t="str">
        <f>IF(Basic!$E$23&gt;0,Basic!$E$23," ")</f>
        <v xml:space="preserve"> </v>
      </c>
      <c r="U106" s="117" t="str">
        <f>IF(Basic!$D$16&gt;0,Basic!$D$16," ")</f>
        <v xml:space="preserve"> </v>
      </c>
      <c r="V106" s="117" t="str">
        <f>IF(JohnsInput!$D$8=0," ",JohnsInput!$D$8)</f>
        <v xml:space="preserve"> </v>
      </c>
      <c r="W106" s="117" t="str">
        <f>IF(JohnsInput!$D$9=0," ",JohnsInput!$D$9)</f>
        <v xml:space="preserve"> </v>
      </c>
      <c r="X106" s="117" t="str">
        <f>IF(JohnsInput!$B$8&gt;0,JohnsInput!$B$8," ")</f>
        <v xml:space="preserve"> </v>
      </c>
      <c r="Y106" s="117" t="str">
        <f>IF(JohnsInput!$B$9&gt;0,JohnsInput!$B$9," ")</f>
        <v xml:space="preserve"> </v>
      </c>
      <c r="Z106" s="117" t="str">
        <f>IF(Marketing!$I$15&gt;0,Marketing!$I$15," ")</f>
        <v xml:space="preserve"> </v>
      </c>
      <c r="AA106" s="117" t="e">
        <f>IF(Marketing!$I$16&gt;0,Marketing!$I$16," ")</f>
        <v>#N/A</v>
      </c>
      <c r="AB106" s="117" t="str">
        <f>IF(Marketing!$I$18&gt;0,Marketing!$I$18," ")</f>
        <v xml:space="preserve"> </v>
      </c>
      <c r="AC106" s="117" t="str">
        <f>Marketing!$I$19</f>
        <v>No Income</v>
      </c>
      <c r="AD106" s="117" t="str">
        <f>IF(Basic!$D$24&gt;0,Basic!$D$24," ")</f>
        <v xml:space="preserve"> </v>
      </c>
      <c r="AE106" s="117" t="str">
        <f>IF(Marketing!$D$13&gt;0,Marketing!$D$13," ")</f>
        <v xml:space="preserve"> </v>
      </c>
      <c r="AF106" s="117" t="str">
        <f>IF(Marketing!$D$14&gt;0,Marketing!$D$14," ")</f>
        <v xml:space="preserve"> </v>
      </c>
      <c r="AG106" s="117" t="str">
        <f>IF(JohnsInput!$B$10&gt;0,JohnsInput!$B$10," ")</f>
        <v xml:space="preserve"> </v>
      </c>
      <c r="AH106" s="117" t="str">
        <f>IF(Marketing!$D$15&gt;0,Marketing!$D$15," ")</f>
        <v xml:space="preserve"> </v>
      </c>
      <c r="AI106" s="185" t="str">
        <f>IF(Marketing!$D$21&gt;0,Marketing!$D$21," ")</f>
        <v xml:space="preserve"> </v>
      </c>
      <c r="AJ106" s="185" t="str">
        <f>IF(Marketing!$D$22&gt;0,Marketing!$D$22," ")</f>
        <v xml:space="preserve"> </v>
      </c>
      <c r="AK106" s="35"/>
      <c r="AL106" s="101"/>
      <c r="AM106" s="101"/>
      <c r="AN106" s="101"/>
    </row>
    <row r="107" spans="1:40" x14ac:dyDescent="0.25">
      <c r="AI107" s="165"/>
      <c r="AJ107" s="167"/>
      <c r="AK107" s="4"/>
      <c r="AL107" s="101"/>
      <c r="AM107" s="101"/>
      <c r="AN107" s="101"/>
    </row>
    <row r="108" spans="1:40" x14ac:dyDescent="0.25">
      <c r="AC108" s="166"/>
      <c r="AD108" s="164"/>
      <c r="AE108" s="165"/>
      <c r="AF108" s="165"/>
      <c r="AG108" s="165"/>
      <c r="AH108" s="166"/>
      <c r="AI108" s="165"/>
      <c r="AJ108" s="167"/>
      <c r="AK108" s="4"/>
      <c r="AL108" s="101"/>
      <c r="AM108" s="101"/>
      <c r="AN108" s="101"/>
    </row>
    <row r="109" spans="1:40" x14ac:dyDescent="0.25">
      <c r="AC109" s="166"/>
      <c r="AD109" s="164"/>
      <c r="AE109" s="165"/>
      <c r="AF109" s="165"/>
      <c r="AG109" s="165"/>
      <c r="AH109" s="166"/>
      <c r="AI109" s="165"/>
      <c r="AJ109" s="167"/>
      <c r="AK109" s="4"/>
      <c r="AL109" s="101"/>
      <c r="AM109" s="101"/>
      <c r="AN109" s="101"/>
    </row>
    <row r="110" spans="1:40" x14ac:dyDescent="0.25">
      <c r="A110" s="143" t="s">
        <v>723</v>
      </c>
      <c r="AC110" s="166"/>
      <c r="AD110" s="164"/>
      <c r="AE110" s="165"/>
      <c r="AF110" s="165"/>
      <c r="AG110" s="165"/>
      <c r="AH110" s="166"/>
      <c r="AI110" s="165"/>
      <c r="AJ110" s="167"/>
      <c r="AK110" s="4"/>
      <c r="AL110" s="101"/>
      <c r="AM110" s="101"/>
      <c r="AN110" s="101"/>
    </row>
    <row r="111" spans="1:40" x14ac:dyDescent="0.25">
      <c r="AC111" s="166"/>
      <c r="AD111" s="164"/>
      <c r="AE111" s="165"/>
      <c r="AF111" s="165"/>
      <c r="AG111" s="165"/>
      <c r="AH111" s="166"/>
      <c r="AI111" s="165"/>
      <c r="AJ111" s="167"/>
      <c r="AK111" s="4"/>
      <c r="AL111" s="101"/>
      <c r="AM111" s="101"/>
      <c r="AN111" s="101"/>
    </row>
    <row r="112" spans="1:40" x14ac:dyDescent="0.25">
      <c r="AC112" s="166"/>
      <c r="AD112" s="164"/>
      <c r="AE112" s="165"/>
      <c r="AF112" s="165"/>
      <c r="AG112" s="165"/>
      <c r="AH112" s="166"/>
      <c r="AI112" s="165"/>
      <c r="AJ112" s="167"/>
      <c r="AK112" s="4"/>
      <c r="AL112" s="101"/>
      <c r="AM112" s="101"/>
      <c r="AN112" s="101"/>
    </row>
    <row r="113" spans="1:40" x14ac:dyDescent="0.25">
      <c r="AC113" s="166"/>
      <c r="AD113" s="164"/>
      <c r="AE113" s="165"/>
      <c r="AF113" s="165"/>
      <c r="AG113" s="165"/>
      <c r="AH113" s="166"/>
      <c r="AI113" s="165"/>
      <c r="AJ113" s="167"/>
      <c r="AK113" s="4"/>
      <c r="AL113" s="4"/>
      <c r="AM113" s="4"/>
      <c r="AN113" s="101"/>
    </row>
    <row r="114" spans="1:40" x14ac:dyDescent="0.25">
      <c r="A114" t="s">
        <v>724</v>
      </c>
      <c r="B114" t="s">
        <v>746</v>
      </c>
      <c r="C114" t="s">
        <v>747</v>
      </c>
      <c r="D114" t="s">
        <v>748</v>
      </c>
      <c r="E114" t="s">
        <v>725</v>
      </c>
      <c r="F114" t="s">
        <v>726</v>
      </c>
      <c r="G114" t="s">
        <v>727</v>
      </c>
      <c r="H114" t="s">
        <v>728</v>
      </c>
      <c r="I114" t="s">
        <v>729</v>
      </c>
      <c r="J114" t="s">
        <v>730</v>
      </c>
      <c r="K114" t="s">
        <v>731</v>
      </c>
      <c r="L114" t="s">
        <v>732</v>
      </c>
      <c r="M114" t="s">
        <v>733</v>
      </c>
      <c r="N114" t="s">
        <v>734</v>
      </c>
      <c r="O114" t="s">
        <v>735</v>
      </c>
      <c r="P114" t="s">
        <v>736</v>
      </c>
      <c r="Q114" t="s">
        <v>737</v>
      </c>
      <c r="R114" t="s">
        <v>738</v>
      </c>
      <c r="S114" t="s">
        <v>739</v>
      </c>
      <c r="T114" t="s">
        <v>740</v>
      </c>
      <c r="U114" t="s">
        <v>741</v>
      </c>
      <c r="V114" t="s">
        <v>742</v>
      </c>
      <c r="W114" t="s">
        <v>743</v>
      </c>
      <c r="X114" t="s">
        <v>744</v>
      </c>
      <c r="Y114" t="s">
        <v>745</v>
      </c>
      <c r="AC114" s="166"/>
      <c r="AD114" s="164"/>
      <c r="AE114" s="165"/>
      <c r="AF114" s="165"/>
      <c r="AG114" s="165"/>
      <c r="AH114" s="166"/>
      <c r="AI114" s="165"/>
      <c r="AJ114" s="167"/>
      <c r="AK114" s="4"/>
      <c r="AL114" s="4"/>
      <c r="AM114" s="4"/>
      <c r="AN114" s="101"/>
    </row>
    <row r="115" spans="1:40" x14ac:dyDescent="0.25">
      <c r="A115" s="136">
        <f>$A$106</f>
        <v>0</v>
      </c>
      <c r="B115" s="147" t="str">
        <f>IF($O$106&gt;0,$O$106," ")</f>
        <v xml:space="preserve"> </v>
      </c>
      <c r="E115" s="115"/>
      <c r="F115" s="136" t="str">
        <f>IF($E$106&gt;0,$E$106," ")</f>
        <v xml:space="preserve"> </v>
      </c>
      <c r="G115" s="136" t="str">
        <f>IF($F$106&gt;0,$F$106," ")</f>
        <v xml:space="preserve"> </v>
      </c>
      <c r="H115" s="115"/>
      <c r="I115" s="144"/>
      <c r="J115" s="145" t="str">
        <f>IF($G$106&gt;0,$G$106," ")</f>
        <v xml:space="preserve"> </v>
      </c>
      <c r="L115" s="146" t="str">
        <f>IF($I$106&gt;0,$I$106)</f>
        <v xml:space="preserve"> </v>
      </c>
      <c r="W115" s="18" t="str">
        <f>IF($L$106&gt;0,$L$106," ")</f>
        <v xml:space="preserve"> </v>
      </c>
      <c r="Y115" s="18" t="str">
        <f>IF($M$106&gt;0,$M$106," ")</f>
        <v xml:space="preserve"> </v>
      </c>
      <c r="AC115" s="166"/>
      <c r="AD115" s="164"/>
      <c r="AE115" s="165"/>
      <c r="AF115" s="165"/>
      <c r="AG115" s="165"/>
      <c r="AH115" s="166"/>
      <c r="AI115" s="165"/>
      <c r="AJ115" s="167"/>
      <c r="AK115" s="4"/>
      <c r="AL115" s="101"/>
      <c r="AM115" s="101"/>
      <c r="AN115" s="101"/>
    </row>
    <row r="116" spans="1:40" x14ac:dyDescent="0.25">
      <c r="AC116" s="166"/>
      <c r="AD116" s="164"/>
      <c r="AE116" s="165"/>
      <c r="AF116" s="165"/>
      <c r="AG116" s="165"/>
      <c r="AH116" s="166"/>
      <c r="AI116" s="165"/>
      <c r="AJ116" s="167"/>
      <c r="AK116" s="4"/>
      <c r="AL116" s="101"/>
      <c r="AM116" s="101"/>
      <c r="AN116" s="101"/>
    </row>
    <row r="117" spans="1:40" x14ac:dyDescent="0.25">
      <c r="AC117" s="166"/>
      <c r="AD117" s="168"/>
      <c r="AE117" s="166"/>
      <c r="AF117" s="165"/>
      <c r="AG117" s="165"/>
      <c r="AH117" s="166"/>
      <c r="AI117" s="166"/>
      <c r="AJ117" s="167"/>
      <c r="AK117" s="4"/>
      <c r="AL117" s="101"/>
      <c r="AM117" s="101"/>
      <c r="AN117" s="101"/>
    </row>
    <row r="118" spans="1:40" x14ac:dyDescent="0.25">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AC118" s="166"/>
      <c r="AD118" s="168"/>
      <c r="AE118" s="166"/>
      <c r="AF118" s="165"/>
      <c r="AG118" s="165"/>
      <c r="AH118" s="166"/>
      <c r="AI118" s="166"/>
      <c r="AJ118" s="167"/>
      <c r="AK118" s="4"/>
      <c r="AL118" s="101"/>
      <c r="AM118" s="101"/>
      <c r="AN118" s="101"/>
    </row>
    <row r="119" spans="1:40" x14ac:dyDescent="0.25">
      <c r="A119" s="1" t="s">
        <v>894</v>
      </c>
      <c r="AC119" s="166"/>
      <c r="AD119" s="168"/>
      <c r="AE119" s="166"/>
      <c r="AF119" s="165"/>
      <c r="AG119" s="165"/>
      <c r="AH119" s="166"/>
      <c r="AI119" s="166"/>
      <c r="AJ119" s="167"/>
      <c r="AK119" s="4"/>
      <c r="AL119" s="101"/>
      <c r="AM119" s="101"/>
      <c r="AN119" s="101"/>
    </row>
    <row r="120" spans="1:40" x14ac:dyDescent="0.25">
      <c r="AC120" s="166"/>
      <c r="AD120" s="168"/>
      <c r="AE120" s="166"/>
      <c r="AF120" s="165"/>
      <c r="AG120" s="165"/>
      <c r="AH120" s="166"/>
      <c r="AI120" s="166"/>
      <c r="AJ120" s="167"/>
      <c r="AK120" s="4"/>
      <c r="AL120" s="101"/>
      <c r="AM120" s="101"/>
      <c r="AN120" s="101"/>
    </row>
    <row r="121" spans="1:40" x14ac:dyDescent="0.25">
      <c r="A121" t="s">
        <v>866</v>
      </c>
      <c r="B121" t="s">
        <v>746</v>
      </c>
      <c r="C121" t="s">
        <v>726</v>
      </c>
      <c r="D121" t="s">
        <v>727</v>
      </c>
      <c r="E121" t="s">
        <v>728</v>
      </c>
      <c r="F121" t="s">
        <v>729</v>
      </c>
      <c r="G121" t="s">
        <v>730</v>
      </c>
      <c r="H121" t="s">
        <v>731</v>
      </c>
      <c r="I121" t="s">
        <v>867</v>
      </c>
      <c r="J121" t="s">
        <v>733</v>
      </c>
      <c r="K121" t="s">
        <v>868</v>
      </c>
      <c r="L121" t="s">
        <v>869</v>
      </c>
      <c r="M121" t="s">
        <v>870</v>
      </c>
      <c r="N121" t="s">
        <v>871</v>
      </c>
      <c r="O121" t="s">
        <v>341</v>
      </c>
      <c r="P121" t="s">
        <v>872</v>
      </c>
      <c r="Q121" t="s">
        <v>718</v>
      </c>
      <c r="R121" t="s">
        <v>719</v>
      </c>
      <c r="S121" t="s">
        <v>873</v>
      </c>
      <c r="T121" t="s">
        <v>874</v>
      </c>
      <c r="U121" t="s">
        <v>875</v>
      </c>
      <c r="V121" t="s">
        <v>876</v>
      </c>
      <c r="W121" t="s">
        <v>877</v>
      </c>
      <c r="X121" t="s">
        <v>878</v>
      </c>
      <c r="Y121" t="s">
        <v>879</v>
      </c>
      <c r="Z121" t="s">
        <v>880</v>
      </c>
      <c r="AA121" t="s">
        <v>881</v>
      </c>
      <c r="AC121" s="4"/>
      <c r="AD121" s="4"/>
      <c r="AE121" s="4"/>
      <c r="AF121" s="4"/>
      <c r="AG121" s="4"/>
      <c r="AH121" s="4"/>
      <c r="AI121" s="4"/>
      <c r="AJ121" s="4"/>
      <c r="AK121" s="4"/>
      <c r="AL121" s="101"/>
      <c r="AM121" s="101"/>
      <c r="AN121" s="101"/>
    </row>
    <row r="122" spans="1:40" x14ac:dyDescent="0.25">
      <c r="A122" s="18">
        <f>$A$115</f>
        <v>0</v>
      </c>
      <c r="B122" s="18" t="str">
        <f>$B$115</f>
        <v xml:space="preserve"> </v>
      </c>
      <c r="C122" s="18" t="str">
        <f>$F$115</f>
        <v xml:space="preserve"> </v>
      </c>
      <c r="D122" s="18" t="str">
        <f>$G$115</f>
        <v xml:space="preserve"> </v>
      </c>
      <c r="G122" s="184" t="str">
        <f>$J$115</f>
        <v xml:space="preserve"> </v>
      </c>
      <c r="I122" s="146" t="str">
        <f>$L$115</f>
        <v xml:space="preserve"> </v>
      </c>
      <c r="K122" s="14" t="str">
        <f>IF(A82&gt;0,A82," ")</f>
        <v xml:space="preserve"> </v>
      </c>
      <c r="M122" s="191">
        <f ca="1">TODAY()</f>
        <v>41612</v>
      </c>
      <c r="N122" s="191" t="str">
        <f>IF(B82&gt;0,B82," ")</f>
        <v xml:space="preserve"> </v>
      </c>
      <c r="O122" s="14" t="str">
        <f>IF(C82&gt;0,C82," ")</f>
        <v xml:space="preserve"> </v>
      </c>
      <c r="P122" s="14" t="str">
        <f>IF(D82&gt;0,D82," ")</f>
        <v xml:space="preserve"> </v>
      </c>
      <c r="Q122" s="14" t="str">
        <f>IF(P122&lt;&gt;" ",VLOOKUP(P122,$AD$128:$AF$133,3,FALSE)," ")</f>
        <v xml:space="preserve"> </v>
      </c>
      <c r="R122" s="192">
        <v>1</v>
      </c>
      <c r="S122" s="14" t="str">
        <f>IF(E82&gt;0,E82," ")</f>
        <v xml:space="preserve"> </v>
      </c>
      <c r="U122" s="14" t="str">
        <f>IF(P122&lt;&gt;" ",VLOOKUP(P122,$AD$128:$AF$133,2,FALSE)," ")</f>
        <v xml:space="preserve"> </v>
      </c>
      <c r="V122" s="192" t="s">
        <v>895</v>
      </c>
      <c r="AC122" s="4"/>
      <c r="AD122" s="4"/>
      <c r="AE122" s="4"/>
      <c r="AF122" s="4"/>
      <c r="AG122" s="4"/>
      <c r="AH122" s="4"/>
      <c r="AI122" s="4"/>
      <c r="AJ122" s="4"/>
      <c r="AK122" s="4"/>
      <c r="AL122" s="4"/>
      <c r="AM122" s="4"/>
      <c r="AN122" s="4"/>
    </row>
    <row r="123" spans="1:40" x14ac:dyDescent="0.25">
      <c r="A123" s="18">
        <f t="shared" ref="A123:A142" si="5">$A$115</f>
        <v>0</v>
      </c>
      <c r="B123" s="18" t="str">
        <f t="shared" ref="B123:B142" si="6">$B$115</f>
        <v xml:space="preserve"> </v>
      </c>
      <c r="C123" s="18" t="str">
        <f t="shared" ref="C123:C142" si="7">$F$115</f>
        <v xml:space="preserve"> </v>
      </c>
      <c r="D123" s="18" t="str">
        <f t="shared" ref="D123:D142" si="8">$G$115</f>
        <v xml:space="preserve"> </v>
      </c>
      <c r="G123" s="184" t="str">
        <f t="shared" ref="G123:G142" si="9">$J$115</f>
        <v xml:space="preserve"> </v>
      </c>
      <c r="I123" s="146" t="str">
        <f t="shared" ref="I123:I142" si="10">$L$115</f>
        <v xml:space="preserve"> </v>
      </c>
      <c r="K123" s="14" t="str">
        <f t="shared" ref="K123:K142" si="11">IF(A83&gt;0,A83," ")</f>
        <v xml:space="preserve"> </v>
      </c>
      <c r="M123" s="191">
        <f t="shared" ref="M123:M142" ca="1" si="12">TODAY()</f>
        <v>41612</v>
      </c>
      <c r="N123" s="191" t="str">
        <f t="shared" ref="N123:O138" si="13">IF(B83&gt;0,B83," ")</f>
        <v xml:space="preserve"> </v>
      </c>
      <c r="O123" s="14" t="str">
        <f t="shared" si="13"/>
        <v xml:space="preserve"> </v>
      </c>
      <c r="P123" s="14" t="str">
        <f t="shared" ref="P123:P142" si="14">IF(D83&gt;0,D83," ")</f>
        <v xml:space="preserve"> </v>
      </c>
      <c r="Q123" s="14" t="str">
        <f t="shared" ref="Q123:Q142" si="15">IF(P123&lt;&gt;" ",VLOOKUP(P123,$AD$128:$AF$133,3,FALSE)," ")</f>
        <v xml:space="preserve"> </v>
      </c>
      <c r="R123" s="192">
        <v>1</v>
      </c>
      <c r="S123" s="14" t="str">
        <f t="shared" ref="S123:S142" si="16">IF(E83&gt;0,E83," ")</f>
        <v xml:space="preserve"> </v>
      </c>
      <c r="U123" s="14" t="str">
        <f t="shared" ref="U123:U142" si="17">IF(P123&lt;&gt;" ",VLOOKUP(P123,$AD$128:$AF$133,2,FALSE)," ")</f>
        <v xml:space="preserve"> </v>
      </c>
      <c r="V123" s="192" t="s">
        <v>895</v>
      </c>
      <c r="AC123" s="4"/>
      <c r="AD123" s="4"/>
      <c r="AE123" s="4"/>
      <c r="AF123" s="4"/>
      <c r="AG123" s="4"/>
      <c r="AH123" s="4"/>
      <c r="AI123" s="4"/>
      <c r="AJ123" s="4"/>
      <c r="AK123" s="4"/>
      <c r="AL123" s="4"/>
      <c r="AM123" s="4"/>
      <c r="AN123" s="4"/>
    </row>
    <row r="124" spans="1:40" x14ac:dyDescent="0.25">
      <c r="A124" s="18">
        <f t="shared" si="5"/>
        <v>0</v>
      </c>
      <c r="B124" s="18" t="str">
        <f t="shared" si="6"/>
        <v xml:space="preserve"> </v>
      </c>
      <c r="C124" s="18" t="str">
        <f t="shared" si="7"/>
        <v xml:space="preserve"> </v>
      </c>
      <c r="D124" s="18" t="str">
        <f t="shared" si="8"/>
        <v xml:space="preserve"> </v>
      </c>
      <c r="G124" s="184" t="str">
        <f t="shared" si="9"/>
        <v xml:space="preserve"> </v>
      </c>
      <c r="I124" s="146" t="str">
        <f t="shared" si="10"/>
        <v xml:space="preserve"> </v>
      </c>
      <c r="K124" s="14" t="str">
        <f t="shared" si="11"/>
        <v xml:space="preserve"> </v>
      </c>
      <c r="M124" s="191">
        <f t="shared" ca="1" si="12"/>
        <v>41612</v>
      </c>
      <c r="N124" s="191" t="str">
        <f t="shared" si="13"/>
        <v xml:space="preserve"> </v>
      </c>
      <c r="O124" s="14" t="str">
        <f t="shared" si="13"/>
        <v xml:space="preserve"> </v>
      </c>
      <c r="P124" s="14" t="str">
        <f t="shared" si="14"/>
        <v xml:space="preserve"> </v>
      </c>
      <c r="Q124" s="14" t="str">
        <f t="shared" si="15"/>
        <v xml:space="preserve"> </v>
      </c>
      <c r="R124" s="192">
        <v>1</v>
      </c>
      <c r="S124" s="14" t="str">
        <f t="shared" si="16"/>
        <v xml:space="preserve"> </v>
      </c>
      <c r="U124" s="14" t="str">
        <f t="shared" si="17"/>
        <v xml:space="preserve"> </v>
      </c>
      <c r="V124" s="192" t="s">
        <v>895</v>
      </c>
      <c r="AC124" s="4"/>
      <c r="AD124" s="4"/>
      <c r="AE124" s="4"/>
      <c r="AF124" s="4"/>
      <c r="AG124" s="4"/>
      <c r="AH124" s="4"/>
      <c r="AI124" s="4"/>
      <c r="AJ124" s="4"/>
      <c r="AK124" s="4"/>
      <c r="AL124" s="4"/>
      <c r="AM124" s="4"/>
      <c r="AN124" s="4"/>
    </row>
    <row r="125" spans="1:40" x14ac:dyDescent="0.25">
      <c r="A125" s="18">
        <f t="shared" si="5"/>
        <v>0</v>
      </c>
      <c r="B125" s="18" t="str">
        <f t="shared" si="6"/>
        <v xml:space="preserve"> </v>
      </c>
      <c r="C125" s="18" t="str">
        <f t="shared" si="7"/>
        <v xml:space="preserve"> </v>
      </c>
      <c r="D125" s="18" t="str">
        <f t="shared" si="8"/>
        <v xml:space="preserve"> </v>
      </c>
      <c r="G125" s="184" t="str">
        <f t="shared" si="9"/>
        <v xml:space="preserve"> </v>
      </c>
      <c r="I125" s="146" t="str">
        <f t="shared" si="10"/>
        <v xml:space="preserve"> </v>
      </c>
      <c r="K125" s="14" t="str">
        <f t="shared" si="11"/>
        <v xml:space="preserve"> </v>
      </c>
      <c r="M125" s="191">
        <f t="shared" ca="1" si="12"/>
        <v>41612</v>
      </c>
      <c r="N125" s="191" t="str">
        <f t="shared" si="13"/>
        <v xml:space="preserve"> </v>
      </c>
      <c r="O125" s="14" t="str">
        <f t="shared" si="13"/>
        <v xml:space="preserve"> </v>
      </c>
      <c r="P125" s="14" t="str">
        <f t="shared" si="14"/>
        <v xml:space="preserve"> </v>
      </c>
      <c r="Q125" s="14" t="str">
        <f t="shared" si="15"/>
        <v xml:space="preserve"> </v>
      </c>
      <c r="R125" s="192">
        <v>1</v>
      </c>
      <c r="S125" s="14" t="str">
        <f t="shared" si="16"/>
        <v xml:space="preserve"> </v>
      </c>
      <c r="U125" s="14" t="str">
        <f t="shared" si="17"/>
        <v xml:space="preserve"> </v>
      </c>
      <c r="V125" s="192" t="s">
        <v>895</v>
      </c>
      <c r="AC125" s="4"/>
      <c r="AD125" s="4"/>
      <c r="AE125" s="4"/>
      <c r="AF125" s="4"/>
      <c r="AG125" s="4"/>
      <c r="AH125" s="4"/>
      <c r="AI125" s="4"/>
      <c r="AJ125" s="4"/>
      <c r="AK125" s="4"/>
      <c r="AL125" s="4"/>
      <c r="AM125" s="4"/>
      <c r="AN125" s="4"/>
    </row>
    <row r="126" spans="1:40" x14ac:dyDescent="0.25">
      <c r="A126" s="18">
        <f t="shared" si="5"/>
        <v>0</v>
      </c>
      <c r="B126" s="18" t="str">
        <f t="shared" si="6"/>
        <v xml:space="preserve"> </v>
      </c>
      <c r="C126" s="18" t="str">
        <f t="shared" si="7"/>
        <v xml:space="preserve"> </v>
      </c>
      <c r="D126" s="18" t="str">
        <f t="shared" si="8"/>
        <v xml:space="preserve"> </v>
      </c>
      <c r="G126" s="184" t="str">
        <f t="shared" si="9"/>
        <v xml:space="preserve"> </v>
      </c>
      <c r="I126" s="146" t="str">
        <f t="shared" si="10"/>
        <v xml:space="preserve"> </v>
      </c>
      <c r="K126" s="14" t="str">
        <f t="shared" si="11"/>
        <v xml:space="preserve"> </v>
      </c>
      <c r="M126" s="191">
        <f t="shared" ca="1" si="12"/>
        <v>41612</v>
      </c>
      <c r="N126" s="191" t="str">
        <f t="shared" si="13"/>
        <v xml:space="preserve"> </v>
      </c>
      <c r="O126" s="14" t="str">
        <f t="shared" si="13"/>
        <v xml:space="preserve"> </v>
      </c>
      <c r="P126" s="14" t="str">
        <f t="shared" si="14"/>
        <v xml:space="preserve"> </v>
      </c>
      <c r="Q126" s="14" t="str">
        <f t="shared" si="15"/>
        <v xml:space="preserve"> </v>
      </c>
      <c r="R126" s="192">
        <v>1</v>
      </c>
      <c r="S126" s="14" t="str">
        <f t="shared" si="16"/>
        <v xml:space="preserve"> </v>
      </c>
      <c r="U126" s="14" t="str">
        <f t="shared" si="17"/>
        <v xml:space="preserve"> </v>
      </c>
      <c r="V126" s="192" t="s">
        <v>895</v>
      </c>
      <c r="AC126" s="4"/>
      <c r="AD126" s="139" t="s">
        <v>721</v>
      </c>
      <c r="AE126" s="139" t="s">
        <v>717</v>
      </c>
      <c r="AF126" s="139" t="s">
        <v>718</v>
      </c>
      <c r="AG126" s="139" t="s">
        <v>719</v>
      </c>
      <c r="AH126" s="139" t="s">
        <v>720</v>
      </c>
      <c r="AI126" s="4"/>
      <c r="AJ126" s="4"/>
      <c r="AK126" s="4"/>
      <c r="AL126" s="4"/>
      <c r="AM126" s="4"/>
      <c r="AN126" s="4"/>
    </row>
    <row r="127" spans="1:40" x14ac:dyDescent="0.25">
      <c r="A127" s="18">
        <f t="shared" si="5"/>
        <v>0</v>
      </c>
      <c r="B127" s="18" t="str">
        <f t="shared" si="6"/>
        <v xml:space="preserve"> </v>
      </c>
      <c r="C127" s="18" t="str">
        <f t="shared" si="7"/>
        <v xml:space="preserve"> </v>
      </c>
      <c r="D127" s="18" t="str">
        <f t="shared" si="8"/>
        <v xml:space="preserve"> </v>
      </c>
      <c r="G127" s="184" t="str">
        <f t="shared" si="9"/>
        <v xml:space="preserve"> </v>
      </c>
      <c r="I127" s="146" t="str">
        <f t="shared" si="10"/>
        <v xml:space="preserve"> </v>
      </c>
      <c r="K127" s="14" t="str">
        <f t="shared" si="11"/>
        <v xml:space="preserve"> </v>
      </c>
      <c r="M127" s="191">
        <f t="shared" ca="1" si="12"/>
        <v>41612</v>
      </c>
      <c r="N127" s="191" t="str">
        <f t="shared" si="13"/>
        <v xml:space="preserve"> </v>
      </c>
      <c r="O127" s="14" t="str">
        <f t="shared" si="13"/>
        <v xml:space="preserve"> </v>
      </c>
      <c r="P127" s="14" t="str">
        <f t="shared" si="14"/>
        <v xml:space="preserve"> </v>
      </c>
      <c r="Q127" s="14" t="str">
        <f t="shared" si="15"/>
        <v xml:space="preserve"> </v>
      </c>
      <c r="R127" s="192">
        <v>1</v>
      </c>
      <c r="S127" s="14" t="str">
        <f t="shared" si="16"/>
        <v xml:space="preserve"> </v>
      </c>
      <c r="U127" s="14" t="str">
        <f t="shared" si="17"/>
        <v xml:space="preserve"> </v>
      </c>
      <c r="V127" s="192" t="s">
        <v>895</v>
      </c>
      <c r="AC127" s="4"/>
      <c r="AD127" s="140"/>
      <c r="AE127" s="140"/>
      <c r="AF127" s="140"/>
      <c r="AG127" s="140"/>
      <c r="AH127" s="140"/>
      <c r="AI127" s="4"/>
      <c r="AJ127" s="4"/>
      <c r="AK127" s="4"/>
      <c r="AL127" s="4"/>
      <c r="AM127" s="4"/>
      <c r="AN127" s="4"/>
    </row>
    <row r="128" spans="1:40" x14ac:dyDescent="0.25">
      <c r="A128" s="18">
        <f t="shared" si="5"/>
        <v>0</v>
      </c>
      <c r="B128" s="18" t="str">
        <f t="shared" si="6"/>
        <v xml:space="preserve"> </v>
      </c>
      <c r="C128" s="18" t="str">
        <f t="shared" si="7"/>
        <v xml:space="preserve"> </v>
      </c>
      <c r="D128" s="18" t="str">
        <f t="shared" si="8"/>
        <v xml:space="preserve"> </v>
      </c>
      <c r="G128" s="184" t="str">
        <f t="shared" si="9"/>
        <v xml:space="preserve"> </v>
      </c>
      <c r="I128" s="146" t="str">
        <f t="shared" si="10"/>
        <v xml:space="preserve"> </v>
      </c>
      <c r="K128" s="14" t="str">
        <f t="shared" si="11"/>
        <v xml:space="preserve"> </v>
      </c>
      <c r="M128" s="191">
        <f t="shared" ca="1" si="12"/>
        <v>41612</v>
      </c>
      <c r="N128" s="191" t="str">
        <f t="shared" si="13"/>
        <v xml:space="preserve"> </v>
      </c>
      <c r="O128" s="14" t="str">
        <f t="shared" si="13"/>
        <v xml:space="preserve"> </v>
      </c>
      <c r="P128" s="14" t="str">
        <f t="shared" si="14"/>
        <v xml:space="preserve"> </v>
      </c>
      <c r="Q128" s="14" t="str">
        <f t="shared" si="15"/>
        <v xml:space="preserve"> </v>
      </c>
      <c r="R128" s="192">
        <v>1</v>
      </c>
      <c r="S128" s="14" t="str">
        <f t="shared" si="16"/>
        <v xml:space="preserve"> </v>
      </c>
      <c r="U128" s="14" t="str">
        <f t="shared" si="17"/>
        <v xml:space="preserve"> </v>
      </c>
      <c r="V128" s="192" t="s">
        <v>895</v>
      </c>
      <c r="AC128" s="4"/>
      <c r="AD128" s="141" t="s">
        <v>882</v>
      </c>
      <c r="AE128" s="142">
        <v>402</v>
      </c>
      <c r="AF128" s="142" t="s">
        <v>883</v>
      </c>
      <c r="AG128" s="142"/>
      <c r="AH128" s="142"/>
      <c r="AI128" s="4"/>
      <c r="AJ128" s="4"/>
      <c r="AK128" s="4"/>
      <c r="AL128" s="4"/>
      <c r="AM128" s="4"/>
      <c r="AN128" s="4"/>
    </row>
    <row r="129" spans="1:40" x14ac:dyDescent="0.25">
      <c r="A129" s="18">
        <f t="shared" si="5"/>
        <v>0</v>
      </c>
      <c r="B129" s="18" t="str">
        <f t="shared" si="6"/>
        <v xml:space="preserve"> </v>
      </c>
      <c r="C129" s="18" t="str">
        <f t="shared" si="7"/>
        <v xml:space="preserve"> </v>
      </c>
      <c r="D129" s="18" t="str">
        <f t="shared" si="8"/>
        <v xml:space="preserve"> </v>
      </c>
      <c r="G129" s="184" t="str">
        <f t="shared" si="9"/>
        <v xml:space="preserve"> </v>
      </c>
      <c r="I129" s="146" t="str">
        <f t="shared" si="10"/>
        <v xml:space="preserve"> </v>
      </c>
      <c r="K129" s="14" t="str">
        <f t="shared" si="11"/>
        <v xml:space="preserve"> </v>
      </c>
      <c r="M129" s="191">
        <f t="shared" ca="1" si="12"/>
        <v>41612</v>
      </c>
      <c r="N129" s="191" t="str">
        <f t="shared" si="13"/>
        <v xml:space="preserve"> </v>
      </c>
      <c r="O129" s="14" t="str">
        <f t="shared" si="13"/>
        <v xml:space="preserve"> </v>
      </c>
      <c r="P129" s="14" t="str">
        <f t="shared" si="14"/>
        <v xml:space="preserve"> </v>
      </c>
      <c r="Q129" s="14" t="str">
        <f t="shared" si="15"/>
        <v xml:space="preserve"> </v>
      </c>
      <c r="R129" s="192">
        <v>1</v>
      </c>
      <c r="S129" s="14" t="str">
        <f t="shared" si="16"/>
        <v xml:space="preserve"> </v>
      </c>
      <c r="U129" s="14" t="str">
        <f t="shared" si="17"/>
        <v xml:space="preserve"> </v>
      </c>
      <c r="V129" s="192" t="s">
        <v>895</v>
      </c>
      <c r="AC129" s="4"/>
      <c r="AD129" s="141" t="s">
        <v>884</v>
      </c>
      <c r="AE129" s="142">
        <v>401</v>
      </c>
      <c r="AF129" s="142" t="s">
        <v>885</v>
      </c>
      <c r="AG129" s="142"/>
      <c r="AH129" s="142"/>
      <c r="AI129" s="4"/>
      <c r="AJ129" s="4"/>
      <c r="AK129" s="4"/>
      <c r="AL129" s="4"/>
      <c r="AM129" s="4"/>
      <c r="AN129" s="4"/>
    </row>
    <row r="130" spans="1:40" x14ac:dyDescent="0.25">
      <c r="A130" s="18">
        <f t="shared" si="5"/>
        <v>0</v>
      </c>
      <c r="B130" s="18" t="str">
        <f t="shared" si="6"/>
        <v xml:space="preserve"> </v>
      </c>
      <c r="C130" s="18" t="str">
        <f t="shared" si="7"/>
        <v xml:space="preserve"> </v>
      </c>
      <c r="D130" s="18" t="str">
        <f t="shared" si="8"/>
        <v xml:space="preserve"> </v>
      </c>
      <c r="G130" s="184" t="str">
        <f t="shared" si="9"/>
        <v xml:space="preserve"> </v>
      </c>
      <c r="I130" s="146" t="str">
        <f t="shared" si="10"/>
        <v xml:space="preserve"> </v>
      </c>
      <c r="K130" s="14" t="str">
        <f t="shared" si="11"/>
        <v xml:space="preserve"> </v>
      </c>
      <c r="M130" s="191">
        <f t="shared" ca="1" si="12"/>
        <v>41612</v>
      </c>
      <c r="N130" s="191" t="str">
        <f t="shared" si="13"/>
        <v xml:space="preserve"> </v>
      </c>
      <c r="O130" s="14" t="str">
        <f t="shared" si="13"/>
        <v xml:space="preserve"> </v>
      </c>
      <c r="P130" s="14" t="str">
        <f t="shared" si="14"/>
        <v xml:space="preserve"> </v>
      </c>
      <c r="Q130" s="14" t="str">
        <f t="shared" si="15"/>
        <v xml:space="preserve"> </v>
      </c>
      <c r="R130" s="192">
        <v>1</v>
      </c>
      <c r="S130" s="14" t="str">
        <f t="shared" si="16"/>
        <v xml:space="preserve"> </v>
      </c>
      <c r="U130" s="14" t="str">
        <f t="shared" si="17"/>
        <v xml:space="preserve"> </v>
      </c>
      <c r="V130" s="192" t="s">
        <v>895</v>
      </c>
      <c r="AC130" s="4"/>
      <c r="AD130" s="141" t="s">
        <v>886</v>
      </c>
      <c r="AE130" s="142">
        <v>412</v>
      </c>
      <c r="AF130" s="142" t="s">
        <v>887</v>
      </c>
      <c r="AG130" s="142"/>
      <c r="AH130" s="142"/>
      <c r="AI130" s="4"/>
      <c r="AJ130" s="4"/>
      <c r="AK130" s="4"/>
      <c r="AL130" s="4"/>
      <c r="AM130" s="4"/>
      <c r="AN130" s="4"/>
    </row>
    <row r="131" spans="1:40" x14ac:dyDescent="0.25">
      <c r="A131" s="18">
        <f t="shared" si="5"/>
        <v>0</v>
      </c>
      <c r="B131" s="18" t="str">
        <f t="shared" si="6"/>
        <v xml:space="preserve"> </v>
      </c>
      <c r="C131" s="18" t="str">
        <f t="shared" si="7"/>
        <v xml:space="preserve"> </v>
      </c>
      <c r="D131" s="18" t="str">
        <f t="shared" si="8"/>
        <v xml:space="preserve"> </v>
      </c>
      <c r="G131" s="184" t="str">
        <f t="shared" si="9"/>
        <v xml:space="preserve"> </v>
      </c>
      <c r="I131" s="146" t="str">
        <f t="shared" si="10"/>
        <v xml:space="preserve"> </v>
      </c>
      <c r="K131" s="14" t="str">
        <f t="shared" si="11"/>
        <v xml:space="preserve"> </v>
      </c>
      <c r="M131" s="191">
        <f t="shared" ca="1" si="12"/>
        <v>41612</v>
      </c>
      <c r="N131" s="191" t="str">
        <f t="shared" si="13"/>
        <v xml:space="preserve"> </v>
      </c>
      <c r="O131" s="14" t="str">
        <f t="shared" si="13"/>
        <v xml:space="preserve"> </v>
      </c>
      <c r="P131" s="14" t="str">
        <f t="shared" si="14"/>
        <v xml:space="preserve"> </v>
      </c>
      <c r="Q131" s="14" t="str">
        <f t="shared" si="15"/>
        <v xml:space="preserve"> </v>
      </c>
      <c r="R131" s="192">
        <v>1</v>
      </c>
      <c r="S131" s="14" t="str">
        <f t="shared" si="16"/>
        <v xml:space="preserve"> </v>
      </c>
      <c r="U131" s="14" t="str">
        <f t="shared" si="17"/>
        <v xml:space="preserve"> </v>
      </c>
      <c r="V131" s="192" t="s">
        <v>895</v>
      </c>
      <c r="AC131" s="4"/>
      <c r="AD131" s="141" t="s">
        <v>888</v>
      </c>
      <c r="AE131" s="142">
        <v>412</v>
      </c>
      <c r="AF131" s="142" t="s">
        <v>889</v>
      </c>
      <c r="AG131" s="142"/>
      <c r="AH131" s="142"/>
      <c r="AI131" s="4"/>
      <c r="AJ131" s="4"/>
      <c r="AK131" s="4"/>
      <c r="AL131" s="4"/>
      <c r="AM131" s="4"/>
      <c r="AN131" s="4"/>
    </row>
    <row r="132" spans="1:40" x14ac:dyDescent="0.25">
      <c r="A132" s="18">
        <f t="shared" si="5"/>
        <v>0</v>
      </c>
      <c r="B132" s="18" t="str">
        <f t="shared" si="6"/>
        <v xml:space="preserve"> </v>
      </c>
      <c r="C132" s="18" t="str">
        <f t="shared" si="7"/>
        <v xml:space="preserve"> </v>
      </c>
      <c r="D132" s="18" t="str">
        <f t="shared" si="8"/>
        <v xml:space="preserve"> </v>
      </c>
      <c r="G132" s="184" t="str">
        <f t="shared" si="9"/>
        <v xml:space="preserve"> </v>
      </c>
      <c r="I132" s="146" t="str">
        <f t="shared" si="10"/>
        <v xml:space="preserve"> </v>
      </c>
      <c r="K132" s="14" t="str">
        <f t="shared" si="11"/>
        <v xml:space="preserve"> </v>
      </c>
      <c r="M132" s="191">
        <f t="shared" ca="1" si="12"/>
        <v>41612</v>
      </c>
      <c r="N132" s="191" t="str">
        <f t="shared" si="13"/>
        <v xml:space="preserve"> </v>
      </c>
      <c r="O132" s="14" t="str">
        <f t="shared" si="13"/>
        <v xml:space="preserve"> </v>
      </c>
      <c r="P132" s="14" t="str">
        <f t="shared" si="14"/>
        <v xml:space="preserve"> </v>
      </c>
      <c r="Q132" s="14" t="str">
        <f t="shared" si="15"/>
        <v xml:space="preserve"> </v>
      </c>
      <c r="R132" s="192">
        <v>1</v>
      </c>
      <c r="S132" s="14" t="str">
        <f t="shared" si="16"/>
        <v xml:space="preserve"> </v>
      </c>
      <c r="U132" s="14" t="str">
        <f t="shared" si="17"/>
        <v xml:space="preserve"> </v>
      </c>
      <c r="V132" s="192" t="s">
        <v>895</v>
      </c>
      <c r="AC132" s="4"/>
      <c r="AD132" s="141" t="s">
        <v>890</v>
      </c>
      <c r="AE132" s="142">
        <v>412</v>
      </c>
      <c r="AF132" s="142" t="s">
        <v>891</v>
      </c>
      <c r="AG132" s="142"/>
      <c r="AH132" s="142"/>
      <c r="AI132" s="4"/>
      <c r="AJ132" s="4"/>
      <c r="AK132" s="4"/>
      <c r="AL132" s="4"/>
      <c r="AM132" s="4"/>
      <c r="AN132" s="4"/>
    </row>
    <row r="133" spans="1:40" x14ac:dyDescent="0.25">
      <c r="A133" s="18">
        <f t="shared" si="5"/>
        <v>0</v>
      </c>
      <c r="B133" s="18" t="str">
        <f t="shared" si="6"/>
        <v xml:space="preserve"> </v>
      </c>
      <c r="C133" s="18" t="str">
        <f t="shared" si="7"/>
        <v xml:space="preserve"> </v>
      </c>
      <c r="D133" s="18" t="str">
        <f t="shared" si="8"/>
        <v xml:space="preserve"> </v>
      </c>
      <c r="G133" s="184" t="str">
        <f t="shared" si="9"/>
        <v xml:space="preserve"> </v>
      </c>
      <c r="I133" s="146" t="str">
        <f t="shared" si="10"/>
        <v xml:space="preserve"> </v>
      </c>
      <c r="K133" s="14" t="str">
        <f t="shared" si="11"/>
        <v xml:space="preserve"> </v>
      </c>
      <c r="M133" s="191">
        <f t="shared" ca="1" si="12"/>
        <v>41612</v>
      </c>
      <c r="N133" s="191" t="str">
        <f t="shared" si="13"/>
        <v xml:space="preserve"> </v>
      </c>
      <c r="O133" s="14" t="str">
        <f t="shared" si="13"/>
        <v xml:space="preserve"> </v>
      </c>
      <c r="P133" s="14" t="str">
        <f t="shared" si="14"/>
        <v xml:space="preserve"> </v>
      </c>
      <c r="Q133" s="14" t="str">
        <f t="shared" si="15"/>
        <v xml:space="preserve"> </v>
      </c>
      <c r="R133" s="192">
        <v>1</v>
      </c>
      <c r="S133" s="14" t="str">
        <f t="shared" si="16"/>
        <v xml:space="preserve"> </v>
      </c>
      <c r="U133" s="14" t="str">
        <f t="shared" si="17"/>
        <v xml:space="preserve"> </v>
      </c>
      <c r="V133" s="192" t="s">
        <v>895</v>
      </c>
      <c r="AC133" s="4"/>
      <c r="AD133" s="142" t="s">
        <v>892</v>
      </c>
      <c r="AE133" s="142">
        <v>412</v>
      </c>
      <c r="AF133" s="142" t="s">
        <v>893</v>
      </c>
      <c r="AG133" s="142"/>
      <c r="AH133" s="142"/>
      <c r="AI133" s="4"/>
      <c r="AJ133" s="4"/>
      <c r="AK133" s="4"/>
      <c r="AL133" s="4"/>
      <c r="AM133" s="4"/>
      <c r="AN133" s="4"/>
    </row>
    <row r="134" spans="1:40" x14ac:dyDescent="0.25">
      <c r="A134" s="18">
        <f t="shared" si="5"/>
        <v>0</v>
      </c>
      <c r="B134" s="18" t="str">
        <f t="shared" si="6"/>
        <v xml:space="preserve"> </v>
      </c>
      <c r="C134" s="18" t="str">
        <f t="shared" si="7"/>
        <v xml:space="preserve"> </v>
      </c>
      <c r="D134" s="18" t="str">
        <f t="shared" si="8"/>
        <v xml:space="preserve"> </v>
      </c>
      <c r="G134" s="184" t="str">
        <f t="shared" si="9"/>
        <v xml:space="preserve"> </v>
      </c>
      <c r="I134" s="146" t="str">
        <f t="shared" si="10"/>
        <v xml:space="preserve"> </v>
      </c>
      <c r="K134" s="14" t="str">
        <f t="shared" si="11"/>
        <v xml:space="preserve"> </v>
      </c>
      <c r="M134" s="191">
        <f t="shared" ca="1" si="12"/>
        <v>41612</v>
      </c>
      <c r="N134" s="191" t="str">
        <f t="shared" si="13"/>
        <v xml:space="preserve"> </v>
      </c>
      <c r="O134" s="14" t="str">
        <f t="shared" si="13"/>
        <v xml:space="preserve"> </v>
      </c>
      <c r="P134" s="14" t="str">
        <f t="shared" si="14"/>
        <v xml:space="preserve"> </v>
      </c>
      <c r="Q134" s="14" t="str">
        <f t="shared" si="15"/>
        <v xml:space="preserve"> </v>
      </c>
      <c r="R134" s="192">
        <v>1</v>
      </c>
      <c r="S134" s="14" t="str">
        <f t="shared" si="16"/>
        <v xml:space="preserve"> </v>
      </c>
      <c r="U134" s="14" t="str">
        <f t="shared" si="17"/>
        <v xml:space="preserve"> </v>
      </c>
      <c r="V134" s="192" t="s">
        <v>895</v>
      </c>
      <c r="AC134" s="4"/>
      <c r="AD134" s="142"/>
      <c r="AE134" s="142"/>
      <c r="AF134" s="142"/>
      <c r="AG134" s="142"/>
      <c r="AH134" s="142"/>
      <c r="AI134" s="4"/>
      <c r="AJ134" s="4"/>
      <c r="AK134" s="4"/>
      <c r="AL134" s="4"/>
      <c r="AM134" s="4"/>
      <c r="AN134" s="4"/>
    </row>
    <row r="135" spans="1:40" x14ac:dyDescent="0.25">
      <c r="A135" s="18">
        <f t="shared" si="5"/>
        <v>0</v>
      </c>
      <c r="B135" s="18" t="str">
        <f t="shared" si="6"/>
        <v xml:space="preserve"> </v>
      </c>
      <c r="C135" s="18" t="str">
        <f t="shared" si="7"/>
        <v xml:space="preserve"> </v>
      </c>
      <c r="D135" s="18" t="str">
        <f t="shared" si="8"/>
        <v xml:space="preserve"> </v>
      </c>
      <c r="G135" s="184" t="str">
        <f t="shared" si="9"/>
        <v xml:space="preserve"> </v>
      </c>
      <c r="I135" s="146" t="str">
        <f t="shared" si="10"/>
        <v xml:space="preserve"> </v>
      </c>
      <c r="K135" s="14" t="str">
        <f t="shared" si="11"/>
        <v xml:space="preserve"> </v>
      </c>
      <c r="M135" s="191">
        <f t="shared" ca="1" si="12"/>
        <v>41612</v>
      </c>
      <c r="N135" s="191" t="str">
        <f t="shared" si="13"/>
        <v xml:space="preserve"> </v>
      </c>
      <c r="O135" s="14" t="str">
        <f t="shared" si="13"/>
        <v xml:space="preserve"> </v>
      </c>
      <c r="P135" s="14" t="str">
        <f t="shared" si="14"/>
        <v xml:space="preserve"> </v>
      </c>
      <c r="Q135" s="14" t="str">
        <f t="shared" si="15"/>
        <v xml:space="preserve"> </v>
      </c>
      <c r="R135" s="192">
        <v>1</v>
      </c>
      <c r="S135" s="14" t="str">
        <f t="shared" si="16"/>
        <v xml:space="preserve"> </v>
      </c>
      <c r="U135" s="14" t="str">
        <f t="shared" si="17"/>
        <v xml:space="preserve"> </v>
      </c>
      <c r="V135" s="192" t="s">
        <v>895</v>
      </c>
      <c r="AC135" s="4"/>
      <c r="AD135" s="142"/>
      <c r="AE135" s="142"/>
      <c r="AF135" s="142"/>
      <c r="AG135" s="142"/>
      <c r="AH135" s="142"/>
      <c r="AI135" s="4"/>
      <c r="AJ135" s="4"/>
      <c r="AK135" s="4"/>
      <c r="AL135" s="4"/>
      <c r="AM135" s="4"/>
      <c r="AN135" s="4"/>
    </row>
    <row r="136" spans="1:40" x14ac:dyDescent="0.25">
      <c r="A136" s="18">
        <f t="shared" si="5"/>
        <v>0</v>
      </c>
      <c r="B136" s="18" t="str">
        <f t="shared" si="6"/>
        <v xml:space="preserve"> </v>
      </c>
      <c r="C136" s="18" t="str">
        <f t="shared" si="7"/>
        <v xml:space="preserve"> </v>
      </c>
      <c r="D136" s="18" t="str">
        <f t="shared" si="8"/>
        <v xml:space="preserve"> </v>
      </c>
      <c r="G136" s="184" t="str">
        <f t="shared" si="9"/>
        <v xml:space="preserve"> </v>
      </c>
      <c r="I136" s="146" t="str">
        <f t="shared" si="10"/>
        <v xml:space="preserve"> </v>
      </c>
      <c r="K136" s="14" t="str">
        <f t="shared" si="11"/>
        <v xml:space="preserve"> </v>
      </c>
      <c r="M136" s="191">
        <f t="shared" ca="1" si="12"/>
        <v>41612</v>
      </c>
      <c r="N136" s="191" t="str">
        <f t="shared" si="13"/>
        <v xml:space="preserve"> </v>
      </c>
      <c r="O136" s="14" t="str">
        <f t="shared" si="13"/>
        <v xml:space="preserve"> </v>
      </c>
      <c r="P136" s="14" t="str">
        <f t="shared" si="14"/>
        <v xml:space="preserve"> </v>
      </c>
      <c r="Q136" s="14" t="str">
        <f t="shared" si="15"/>
        <v xml:space="preserve"> </v>
      </c>
      <c r="R136" s="192">
        <v>1</v>
      </c>
      <c r="S136" s="14" t="str">
        <f t="shared" si="16"/>
        <v xml:space="preserve"> </v>
      </c>
      <c r="U136" s="14" t="str">
        <f t="shared" si="17"/>
        <v xml:space="preserve"> </v>
      </c>
      <c r="V136" s="192" t="s">
        <v>895</v>
      </c>
      <c r="AC136" s="4"/>
      <c r="AD136" s="142"/>
      <c r="AE136" s="142"/>
      <c r="AF136" s="142"/>
      <c r="AG136" s="142"/>
      <c r="AH136" s="142"/>
      <c r="AI136" s="4"/>
      <c r="AJ136" s="4"/>
      <c r="AK136" s="4"/>
      <c r="AL136" s="4"/>
      <c r="AM136" s="4"/>
      <c r="AN136" s="4"/>
    </row>
    <row r="137" spans="1:40" x14ac:dyDescent="0.25">
      <c r="A137" s="18">
        <f t="shared" si="5"/>
        <v>0</v>
      </c>
      <c r="B137" s="18" t="str">
        <f t="shared" si="6"/>
        <v xml:space="preserve"> </v>
      </c>
      <c r="C137" s="18" t="str">
        <f t="shared" si="7"/>
        <v xml:space="preserve"> </v>
      </c>
      <c r="D137" s="18" t="str">
        <f t="shared" si="8"/>
        <v xml:space="preserve"> </v>
      </c>
      <c r="G137" s="184" t="str">
        <f t="shared" si="9"/>
        <v xml:space="preserve"> </v>
      </c>
      <c r="I137" s="146" t="str">
        <f t="shared" si="10"/>
        <v xml:space="preserve"> </v>
      </c>
      <c r="K137" s="14" t="str">
        <f t="shared" si="11"/>
        <v xml:space="preserve"> </v>
      </c>
      <c r="M137" s="191">
        <f t="shared" ca="1" si="12"/>
        <v>41612</v>
      </c>
      <c r="N137" s="191" t="str">
        <f t="shared" si="13"/>
        <v xml:space="preserve"> </v>
      </c>
      <c r="O137" s="14" t="str">
        <f t="shared" si="13"/>
        <v xml:space="preserve"> </v>
      </c>
      <c r="P137" s="14" t="str">
        <f t="shared" si="14"/>
        <v xml:space="preserve"> </v>
      </c>
      <c r="Q137" s="14" t="str">
        <f t="shared" si="15"/>
        <v xml:space="preserve"> </v>
      </c>
      <c r="R137" s="192">
        <v>1</v>
      </c>
      <c r="S137" s="14" t="str">
        <f t="shared" si="16"/>
        <v xml:space="preserve"> </v>
      </c>
      <c r="U137" s="14" t="str">
        <f t="shared" si="17"/>
        <v xml:space="preserve"> </v>
      </c>
      <c r="V137" s="192" t="s">
        <v>895</v>
      </c>
      <c r="AC137" s="4"/>
      <c r="AD137" s="142"/>
      <c r="AE137" s="142"/>
      <c r="AF137" s="142"/>
      <c r="AG137" s="142"/>
      <c r="AH137" s="142"/>
      <c r="AI137" s="4"/>
      <c r="AJ137" s="4"/>
      <c r="AK137" s="4"/>
      <c r="AL137" s="4"/>
      <c r="AM137" s="4"/>
      <c r="AN137" s="4"/>
    </row>
    <row r="138" spans="1:40" x14ac:dyDescent="0.25">
      <c r="A138" s="18">
        <f t="shared" si="5"/>
        <v>0</v>
      </c>
      <c r="B138" s="18" t="str">
        <f t="shared" si="6"/>
        <v xml:space="preserve"> </v>
      </c>
      <c r="C138" s="18" t="str">
        <f t="shared" si="7"/>
        <v xml:space="preserve"> </v>
      </c>
      <c r="D138" s="18" t="str">
        <f t="shared" si="8"/>
        <v xml:space="preserve"> </v>
      </c>
      <c r="G138" s="184" t="str">
        <f t="shared" si="9"/>
        <v xml:space="preserve"> </v>
      </c>
      <c r="I138" s="146" t="str">
        <f t="shared" si="10"/>
        <v xml:space="preserve"> </v>
      </c>
      <c r="K138" s="14" t="str">
        <f t="shared" si="11"/>
        <v xml:space="preserve"> </v>
      </c>
      <c r="M138" s="191">
        <f t="shared" ca="1" si="12"/>
        <v>41612</v>
      </c>
      <c r="N138" s="191" t="str">
        <f t="shared" si="13"/>
        <v xml:space="preserve"> </v>
      </c>
      <c r="O138" s="14" t="str">
        <f t="shared" si="13"/>
        <v xml:space="preserve"> </v>
      </c>
      <c r="P138" s="14" t="str">
        <f t="shared" si="14"/>
        <v xml:space="preserve"> </v>
      </c>
      <c r="Q138" s="14" t="str">
        <f t="shared" si="15"/>
        <v xml:space="preserve"> </v>
      </c>
      <c r="R138" s="192">
        <v>1</v>
      </c>
      <c r="S138" s="14" t="str">
        <f t="shared" si="16"/>
        <v xml:space="preserve"> </v>
      </c>
      <c r="U138" s="14" t="str">
        <f t="shared" si="17"/>
        <v xml:space="preserve"> </v>
      </c>
      <c r="V138" s="192" t="s">
        <v>895</v>
      </c>
      <c r="AC138" s="4"/>
      <c r="AD138" s="142"/>
      <c r="AE138" s="142"/>
      <c r="AF138" s="142"/>
      <c r="AG138" s="142"/>
      <c r="AH138" s="142"/>
      <c r="AI138" s="4"/>
      <c r="AJ138" s="4"/>
      <c r="AK138" s="4"/>
      <c r="AL138" s="4"/>
      <c r="AM138" s="4"/>
      <c r="AN138" s="4"/>
    </row>
    <row r="139" spans="1:40" x14ac:dyDescent="0.25">
      <c r="A139" s="18">
        <f t="shared" si="5"/>
        <v>0</v>
      </c>
      <c r="B139" s="18" t="str">
        <f t="shared" si="6"/>
        <v xml:space="preserve"> </v>
      </c>
      <c r="C139" s="18" t="str">
        <f t="shared" si="7"/>
        <v xml:space="preserve"> </v>
      </c>
      <c r="D139" s="18" t="str">
        <f t="shared" si="8"/>
        <v xml:space="preserve"> </v>
      </c>
      <c r="G139" s="184" t="str">
        <f t="shared" si="9"/>
        <v xml:space="preserve"> </v>
      </c>
      <c r="I139" s="146" t="str">
        <f t="shared" si="10"/>
        <v xml:space="preserve"> </v>
      </c>
      <c r="K139" s="14" t="str">
        <f t="shared" si="11"/>
        <v xml:space="preserve"> </v>
      </c>
      <c r="M139" s="191">
        <f t="shared" ca="1" si="12"/>
        <v>41612</v>
      </c>
      <c r="N139" s="191" t="str">
        <f t="shared" ref="N139:O142" si="18">IF(B99&gt;0,B99," ")</f>
        <v xml:space="preserve"> </v>
      </c>
      <c r="O139" s="14" t="str">
        <f t="shared" si="18"/>
        <v xml:space="preserve"> </v>
      </c>
      <c r="P139" s="14" t="str">
        <f t="shared" si="14"/>
        <v xml:space="preserve"> </v>
      </c>
      <c r="Q139" s="14" t="str">
        <f t="shared" si="15"/>
        <v xml:space="preserve"> </v>
      </c>
      <c r="R139" s="192">
        <v>1</v>
      </c>
      <c r="S139" s="14" t="str">
        <f t="shared" si="16"/>
        <v xml:space="preserve"> </v>
      </c>
      <c r="U139" s="14" t="str">
        <f t="shared" si="17"/>
        <v xml:space="preserve"> </v>
      </c>
      <c r="V139" s="192" t="s">
        <v>895</v>
      </c>
      <c r="AC139" s="4"/>
      <c r="AD139" s="142"/>
      <c r="AE139" s="142"/>
      <c r="AF139" s="142"/>
      <c r="AG139" s="142"/>
      <c r="AH139" s="142"/>
      <c r="AI139" s="4"/>
      <c r="AJ139" s="4"/>
      <c r="AK139" s="4"/>
      <c r="AL139" s="4"/>
      <c r="AM139" s="4"/>
      <c r="AN139" s="4"/>
    </row>
    <row r="140" spans="1:40" x14ac:dyDescent="0.25">
      <c r="A140" s="18">
        <f t="shared" si="5"/>
        <v>0</v>
      </c>
      <c r="B140" s="18" t="str">
        <f t="shared" si="6"/>
        <v xml:space="preserve"> </v>
      </c>
      <c r="C140" s="18" t="str">
        <f t="shared" si="7"/>
        <v xml:space="preserve"> </v>
      </c>
      <c r="D140" s="18" t="str">
        <f t="shared" si="8"/>
        <v xml:space="preserve"> </v>
      </c>
      <c r="G140" s="184" t="str">
        <f t="shared" si="9"/>
        <v xml:space="preserve"> </v>
      </c>
      <c r="I140" s="146" t="str">
        <f t="shared" si="10"/>
        <v xml:space="preserve"> </v>
      </c>
      <c r="K140" s="14" t="str">
        <f t="shared" si="11"/>
        <v xml:space="preserve"> </v>
      </c>
      <c r="M140" s="191">
        <f t="shared" ca="1" si="12"/>
        <v>41612</v>
      </c>
      <c r="N140" s="191" t="str">
        <f t="shared" si="18"/>
        <v xml:space="preserve"> </v>
      </c>
      <c r="O140" s="14" t="str">
        <f t="shared" si="18"/>
        <v xml:space="preserve"> </v>
      </c>
      <c r="P140" s="14" t="str">
        <f t="shared" si="14"/>
        <v xml:space="preserve"> </v>
      </c>
      <c r="Q140" s="14" t="str">
        <f t="shared" si="15"/>
        <v xml:space="preserve"> </v>
      </c>
      <c r="R140" s="192">
        <v>1</v>
      </c>
      <c r="S140" s="14" t="str">
        <f t="shared" si="16"/>
        <v xml:space="preserve"> </v>
      </c>
      <c r="U140" s="14" t="str">
        <f t="shared" si="17"/>
        <v xml:space="preserve"> </v>
      </c>
      <c r="V140" s="192" t="s">
        <v>895</v>
      </c>
      <c r="AC140" s="4"/>
      <c r="AD140" s="142"/>
      <c r="AE140" s="142"/>
      <c r="AF140" s="142"/>
      <c r="AG140" s="142"/>
      <c r="AH140" s="142"/>
      <c r="AI140" s="4"/>
      <c r="AJ140" s="4"/>
      <c r="AK140" s="4"/>
      <c r="AL140" s="4"/>
      <c r="AM140" s="4"/>
      <c r="AN140" s="4"/>
    </row>
    <row r="141" spans="1:40" x14ac:dyDescent="0.25">
      <c r="A141" s="18">
        <f t="shared" si="5"/>
        <v>0</v>
      </c>
      <c r="B141" s="18" t="str">
        <f t="shared" si="6"/>
        <v xml:space="preserve"> </v>
      </c>
      <c r="C141" s="18" t="str">
        <f t="shared" si="7"/>
        <v xml:space="preserve"> </v>
      </c>
      <c r="D141" s="18" t="str">
        <f t="shared" si="8"/>
        <v xml:space="preserve"> </v>
      </c>
      <c r="G141" s="184" t="str">
        <f t="shared" si="9"/>
        <v xml:space="preserve"> </v>
      </c>
      <c r="I141" s="146" t="str">
        <f t="shared" si="10"/>
        <v xml:space="preserve"> </v>
      </c>
      <c r="K141" s="14" t="str">
        <f t="shared" si="11"/>
        <v xml:space="preserve"> </v>
      </c>
      <c r="M141" s="191">
        <f t="shared" ca="1" si="12"/>
        <v>41612</v>
      </c>
      <c r="N141" s="191" t="str">
        <f t="shared" si="18"/>
        <v xml:space="preserve"> </v>
      </c>
      <c r="O141" s="14" t="str">
        <f t="shared" si="18"/>
        <v xml:space="preserve"> </v>
      </c>
      <c r="P141" s="14" t="str">
        <f t="shared" si="14"/>
        <v xml:space="preserve"> </v>
      </c>
      <c r="Q141" s="14" t="str">
        <f t="shared" si="15"/>
        <v xml:space="preserve"> </v>
      </c>
      <c r="R141" s="192">
        <v>1</v>
      </c>
      <c r="S141" s="14" t="str">
        <f t="shared" si="16"/>
        <v xml:space="preserve"> </v>
      </c>
      <c r="U141" s="14" t="str">
        <f t="shared" si="17"/>
        <v xml:space="preserve"> </v>
      </c>
      <c r="V141" s="192" t="s">
        <v>895</v>
      </c>
      <c r="AC141" s="4"/>
      <c r="AD141" s="4"/>
      <c r="AE141" s="4"/>
      <c r="AF141" s="4"/>
      <c r="AG141" s="4"/>
      <c r="AH141" s="4"/>
      <c r="AI141" s="4"/>
      <c r="AJ141" s="4"/>
      <c r="AK141" s="4"/>
      <c r="AL141" s="4"/>
      <c r="AM141" s="4"/>
      <c r="AN141" s="4"/>
    </row>
    <row r="142" spans="1:40" x14ac:dyDescent="0.25">
      <c r="A142" s="18">
        <f t="shared" si="5"/>
        <v>0</v>
      </c>
      <c r="B142" s="18" t="str">
        <f t="shared" si="6"/>
        <v xml:space="preserve"> </v>
      </c>
      <c r="C142" s="18" t="str">
        <f t="shared" si="7"/>
        <v xml:space="preserve"> </v>
      </c>
      <c r="D142" s="18" t="str">
        <f t="shared" si="8"/>
        <v xml:space="preserve"> </v>
      </c>
      <c r="G142" s="184" t="str">
        <f t="shared" si="9"/>
        <v xml:space="preserve"> </v>
      </c>
      <c r="I142" s="146" t="str">
        <f t="shared" si="10"/>
        <v xml:space="preserve"> </v>
      </c>
      <c r="K142" s="14" t="str">
        <f t="shared" si="11"/>
        <v xml:space="preserve"> </v>
      </c>
      <c r="M142" s="191">
        <f t="shared" ca="1" si="12"/>
        <v>41612</v>
      </c>
      <c r="N142" s="191" t="str">
        <f t="shared" si="18"/>
        <v xml:space="preserve"> </v>
      </c>
      <c r="O142" s="14" t="str">
        <f t="shared" si="18"/>
        <v xml:space="preserve"> </v>
      </c>
      <c r="P142" s="14" t="str">
        <f t="shared" si="14"/>
        <v xml:space="preserve"> </v>
      </c>
      <c r="Q142" s="14" t="str">
        <f t="shared" si="15"/>
        <v xml:space="preserve"> </v>
      </c>
      <c r="R142" s="192">
        <v>1</v>
      </c>
      <c r="S142" s="14" t="str">
        <f t="shared" si="16"/>
        <v xml:space="preserve"> </v>
      </c>
      <c r="U142" s="14" t="str">
        <f t="shared" si="17"/>
        <v xml:space="preserve"> </v>
      </c>
      <c r="V142" s="192" t="s">
        <v>895</v>
      </c>
      <c r="AC142" s="4"/>
      <c r="AD142" s="4"/>
      <c r="AE142" s="4"/>
      <c r="AF142" s="4"/>
      <c r="AG142" s="4"/>
      <c r="AH142" s="4"/>
      <c r="AI142" s="4"/>
      <c r="AJ142" s="4"/>
      <c r="AK142" s="4"/>
      <c r="AL142" s="4"/>
      <c r="AM142" s="4"/>
      <c r="AN142" s="4"/>
    </row>
    <row r="143" spans="1:40" x14ac:dyDescent="0.25">
      <c r="AC143" s="4"/>
    </row>
    <row r="144" spans="1:40" x14ac:dyDescent="0.25">
      <c r="AC144" s="4"/>
    </row>
    <row r="151" spans="30:30" x14ac:dyDescent="0.25"/>
    <row r="152" spans="30:30" x14ac:dyDescent="0.25">
      <c r="AD152" s="143" t="s">
        <v>749</v>
      </c>
    </row>
  </sheetData>
  <dataValidations count="3">
    <dataValidation type="list" allowBlank="1" showInputMessage="1" showErrorMessage="1" sqref="AF104 AF108:AF120">
      <formula1>$B$1635:$B$1647</formula1>
    </dataValidation>
    <dataValidation type="list" allowBlank="1" showInputMessage="1" showErrorMessage="1" sqref="B55 B49">
      <formula1>$K$58:$K$59</formula1>
    </dataValidation>
    <dataValidation type="list" allowBlank="1" showInputMessage="1" showErrorMessage="1" sqref="D82:D102">
      <formula1>$AD$128:$AD$133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nalysisMenu">
                <anchor moveWithCells="1">
                  <from>
                    <xdr:col>1</xdr:col>
                    <xdr:colOff>447675</xdr:colOff>
                    <xdr:row>1</xdr:row>
                    <xdr:rowOff>114300</xdr:rowOff>
                  </from>
                  <to>
                    <xdr:col>2</xdr:col>
                    <xdr:colOff>990600</xdr:colOff>
                    <xdr:row>2</xdr:row>
                    <xdr:rowOff>161925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3:M56"/>
  <sheetViews>
    <sheetView topLeftCell="A2" workbookViewId="0">
      <selection activeCell="A20" sqref="A20"/>
    </sheetView>
  </sheetViews>
  <sheetFormatPr defaultRowHeight="15" x14ac:dyDescent="0.25"/>
  <cols>
    <col min="1" max="1" width="36.7109375" customWidth="1"/>
    <col min="2" max="2" width="18.5703125" customWidth="1"/>
    <col min="3" max="3" width="19.5703125" customWidth="1"/>
    <col min="4" max="4" width="21.140625" customWidth="1"/>
    <col min="12" max="12" width="12.140625" customWidth="1"/>
    <col min="13" max="13" width="11.42578125" customWidth="1"/>
  </cols>
  <sheetData>
    <row r="3" spans="1:13" x14ac:dyDescent="0.25">
      <c r="J3" s="122" t="s">
        <v>236</v>
      </c>
      <c r="K3" s="122" t="s">
        <v>241</v>
      </c>
      <c r="L3" s="122" t="s">
        <v>244</v>
      </c>
      <c r="M3" s="122" t="s">
        <v>147</v>
      </c>
    </row>
    <row r="4" spans="1:13" x14ac:dyDescent="0.25">
      <c r="J4" s="122" t="s">
        <v>237</v>
      </c>
      <c r="K4" s="122" t="s">
        <v>242</v>
      </c>
      <c r="L4" s="122" t="s">
        <v>245</v>
      </c>
      <c r="M4" s="122" t="s">
        <v>246</v>
      </c>
    </row>
    <row r="5" spans="1:13" x14ac:dyDescent="0.25">
      <c r="J5" s="122" t="s">
        <v>238</v>
      </c>
      <c r="K5" s="122" t="s">
        <v>243</v>
      </c>
      <c r="L5" s="122" t="s">
        <v>169</v>
      </c>
    </row>
    <row r="6" spans="1:13" x14ac:dyDescent="0.25">
      <c r="A6" s="13" t="s">
        <v>190</v>
      </c>
      <c r="J6" s="122" t="s">
        <v>239</v>
      </c>
    </row>
    <row r="7" spans="1:13" x14ac:dyDescent="0.25">
      <c r="J7" s="122" t="s">
        <v>240</v>
      </c>
    </row>
    <row r="8" spans="1:13" x14ac:dyDescent="0.25">
      <c r="A8" s="1" t="s">
        <v>233</v>
      </c>
      <c r="B8" s="11"/>
      <c r="C8" s="1" t="s">
        <v>799</v>
      </c>
      <c r="D8" s="11"/>
      <c r="J8" s="122" t="s">
        <v>169</v>
      </c>
    </row>
    <row r="9" spans="1:13" x14ac:dyDescent="0.25">
      <c r="A9" s="1" t="s">
        <v>234</v>
      </c>
      <c r="B9" s="11"/>
      <c r="C9" s="1" t="s">
        <v>800</v>
      </c>
      <c r="D9" s="11"/>
    </row>
    <row r="10" spans="1:13" x14ac:dyDescent="0.25">
      <c r="A10" s="1" t="s">
        <v>235</v>
      </c>
      <c r="B10" s="11"/>
      <c r="K10" s="122" t="s">
        <v>801</v>
      </c>
    </row>
    <row r="11" spans="1:13" x14ac:dyDescent="0.25">
      <c r="A11" s="1" t="s">
        <v>329</v>
      </c>
      <c r="B11" s="182"/>
      <c r="K11" s="122" t="s">
        <v>802</v>
      </c>
    </row>
    <row r="12" spans="1:13" x14ac:dyDescent="0.25">
      <c r="A12" s="1" t="s">
        <v>330</v>
      </c>
      <c r="B12" s="182"/>
      <c r="K12" s="122" t="s">
        <v>803</v>
      </c>
    </row>
    <row r="13" spans="1:13" x14ac:dyDescent="0.25">
      <c r="A13" s="1" t="s">
        <v>501</v>
      </c>
      <c r="B13" s="11"/>
      <c r="K13" s="122" t="s">
        <v>804</v>
      </c>
    </row>
    <row r="14" spans="1:13" x14ac:dyDescent="0.25">
      <c r="A14" s="1" t="s">
        <v>505</v>
      </c>
      <c r="B14" s="11"/>
      <c r="K14" s="122" t="s">
        <v>805</v>
      </c>
    </row>
    <row r="15" spans="1:13" x14ac:dyDescent="0.25">
      <c r="A15" s="13" t="s">
        <v>228</v>
      </c>
      <c r="K15" s="122" t="s">
        <v>806</v>
      </c>
    </row>
    <row r="16" spans="1:13" x14ac:dyDescent="0.25">
      <c r="K16" s="122" t="s">
        <v>807</v>
      </c>
    </row>
    <row r="17" spans="1:11" x14ac:dyDescent="0.25">
      <c r="A17" s="12" t="s">
        <v>194</v>
      </c>
      <c r="B17" s="7" t="s">
        <v>146</v>
      </c>
      <c r="C17" s="7" t="s">
        <v>231</v>
      </c>
      <c r="K17" s="122" t="s">
        <v>808</v>
      </c>
    </row>
    <row r="18" spans="1:11" x14ac:dyDescent="0.25">
      <c r="K18" s="122" t="s">
        <v>809</v>
      </c>
    </row>
    <row r="19" spans="1:11" x14ac:dyDescent="0.25">
      <c r="A19" s="14" t="str">
        <f>IF(RealPropertyOutputs!$B$2=0," ",RealPropertyOutputs!$B$2)</f>
        <v xml:space="preserve"> </v>
      </c>
      <c r="B19" s="16"/>
      <c r="C19" s="11"/>
    </row>
    <row r="20" spans="1:11" x14ac:dyDescent="0.25">
      <c r="A20" s="14" t="str">
        <f>IF(RealPropertyOutputs!$B$3=0," ",RealPropertyOutputs!$B$3)</f>
        <v xml:space="preserve"> </v>
      </c>
      <c r="B20" s="16"/>
      <c r="C20" s="11"/>
    </row>
    <row r="21" spans="1:11" x14ac:dyDescent="0.25">
      <c r="A21" s="14" t="str">
        <f>IF(RealPropertyOutputs!$B$4=0," ",RealPropertyOutputs!$B$4)</f>
        <v xml:space="preserve"> </v>
      </c>
      <c r="B21" s="16"/>
      <c r="C21" s="11"/>
    </row>
    <row r="22" spans="1:11" x14ac:dyDescent="0.25">
      <c r="A22" s="14" t="str">
        <f>IF(RealPropertyOutputs!$B$5=0," ",RealPropertyOutputs!$B$5)</f>
        <v xml:space="preserve"> </v>
      </c>
      <c r="B22" s="16"/>
      <c r="C22" s="11"/>
    </row>
    <row r="23" spans="1:11" x14ac:dyDescent="0.25">
      <c r="A23" s="14" t="str">
        <f>IF(RealPropertyOutputs!$B$6=0," ",RealPropertyOutputs!$B$6)</f>
        <v xml:space="preserve"> </v>
      </c>
      <c r="B23" s="16"/>
      <c r="C23" s="11"/>
    </row>
    <row r="24" spans="1:11" x14ac:dyDescent="0.25">
      <c r="A24" s="14" t="str">
        <f>IF(RealPropertyOutputs!$B$7=0," ",RealPropertyOutputs!$B$7)</f>
        <v xml:space="preserve"> </v>
      </c>
      <c r="B24" s="16"/>
      <c r="C24" s="11"/>
    </row>
    <row r="25" spans="1:11" x14ac:dyDescent="0.25">
      <c r="A25" s="14" t="str">
        <f>IF(RealPropertyOutputs!$B$8=0," ",RealPropertyOutputs!$B$8)</f>
        <v xml:space="preserve"> </v>
      </c>
      <c r="B25" s="16"/>
      <c r="C25" s="11"/>
    </row>
    <row r="26" spans="1:11" x14ac:dyDescent="0.25">
      <c r="A26" s="14" t="str">
        <f>IF(RealPropertyOutputs!$B$9=0," ",RealPropertyOutputs!$B$9)</f>
        <v xml:space="preserve"> </v>
      </c>
      <c r="B26" s="16"/>
      <c r="C26" s="11"/>
    </row>
    <row r="27" spans="1:11" x14ac:dyDescent="0.25">
      <c r="A27" s="14" t="str">
        <f>IF(RealPropertyOutputs!$B$10=0," ",RealPropertyOutputs!$B$10)</f>
        <v xml:space="preserve"> </v>
      </c>
      <c r="B27" s="16"/>
      <c r="C27" s="11"/>
    </row>
    <row r="28" spans="1:11" x14ac:dyDescent="0.25">
      <c r="A28" s="14" t="str">
        <f>IF(RealPropertyOutputs!$B$11=0," ",RealPropertyOutputs!$B$11)</f>
        <v xml:space="preserve"> </v>
      </c>
      <c r="B28" s="16"/>
      <c r="C28" s="11"/>
    </row>
    <row r="29" spans="1:11" x14ac:dyDescent="0.25">
      <c r="A29" s="15"/>
    </row>
    <row r="30" spans="1:11" x14ac:dyDescent="0.25">
      <c r="A30" s="12" t="s">
        <v>193</v>
      </c>
    </row>
    <row r="32" spans="1:11" x14ac:dyDescent="0.25">
      <c r="B32" s="7" t="s">
        <v>229</v>
      </c>
      <c r="C32" s="7" t="s">
        <v>230</v>
      </c>
      <c r="D32" s="7" t="s">
        <v>231</v>
      </c>
    </row>
    <row r="34" spans="1:4" x14ac:dyDescent="0.25">
      <c r="A34" s="14" t="str">
        <f>IF(VehiclesOutput!$B$2=0," ",VehiclesOutput!$B$2)</f>
        <v xml:space="preserve"> </v>
      </c>
      <c r="B34" s="16"/>
      <c r="C34" s="16"/>
      <c r="D34" s="11"/>
    </row>
    <row r="35" spans="1:4" x14ac:dyDescent="0.25">
      <c r="A35" s="14"/>
      <c r="B35" s="16"/>
      <c r="C35" s="16"/>
      <c r="D35" s="11"/>
    </row>
    <row r="36" spans="1:4" x14ac:dyDescent="0.25">
      <c r="A36" s="14"/>
      <c r="B36" s="16"/>
      <c r="C36" s="16"/>
      <c r="D36" s="11"/>
    </row>
    <row r="37" spans="1:4" x14ac:dyDescent="0.25">
      <c r="A37" s="14"/>
      <c r="B37" s="16"/>
      <c r="C37" s="16"/>
      <c r="D37" s="11"/>
    </row>
    <row r="38" spans="1:4" x14ac:dyDescent="0.25">
      <c r="A38" s="14" t="str">
        <f>IF(VehiclesOutput!$B$6=0," ",VehiclesOutput!$B$6)</f>
        <v xml:space="preserve"> </v>
      </c>
      <c r="B38" s="16"/>
      <c r="C38" s="16"/>
      <c r="D38" s="11"/>
    </row>
    <row r="39" spans="1:4" x14ac:dyDescent="0.25">
      <c r="A39" s="14" t="str">
        <f>IF(VehiclesOutput!$B$7=0," ",VehiclesOutput!$B$7)</f>
        <v xml:space="preserve"> </v>
      </c>
      <c r="B39" s="16"/>
      <c r="C39" s="16"/>
      <c r="D39" s="11"/>
    </row>
    <row r="40" spans="1:4" x14ac:dyDescent="0.25">
      <c r="A40" s="14" t="str">
        <f>IF(VehiclesOutput!$B$8=0," ",VehiclesOutput!$B$8)</f>
        <v xml:space="preserve"> </v>
      </c>
      <c r="B40" s="16"/>
      <c r="C40" s="16"/>
      <c r="D40" s="11"/>
    </row>
    <row r="41" spans="1:4" x14ac:dyDescent="0.25">
      <c r="A41" s="14" t="str">
        <f>IF(VehiclesOutput!$B$9=0," ",VehiclesOutput!$B$9)</f>
        <v xml:space="preserve"> </v>
      </c>
      <c r="B41" s="16"/>
      <c r="C41" s="16"/>
      <c r="D41" s="11"/>
    </row>
    <row r="42" spans="1:4" x14ac:dyDescent="0.25">
      <c r="A42" s="14" t="str">
        <f>IF(VehiclesOutput!$B$10=0," ",VehiclesOutput!$B$10)</f>
        <v xml:space="preserve"> </v>
      </c>
      <c r="B42" s="16"/>
      <c r="C42" s="16"/>
      <c r="D42" s="11"/>
    </row>
    <row r="43" spans="1:4" x14ac:dyDescent="0.25">
      <c r="A43" s="14" t="str">
        <f>IF(VehiclesOutput!$B$11=0," ",VehiclesOutput!$B$11)</f>
        <v xml:space="preserve"> </v>
      </c>
      <c r="B43" s="16"/>
      <c r="C43" s="16"/>
      <c r="D43" s="11"/>
    </row>
    <row r="45" spans="1:4" x14ac:dyDescent="0.25">
      <c r="A45" s="12" t="s">
        <v>232</v>
      </c>
      <c r="B45" s="7" t="s">
        <v>146</v>
      </c>
      <c r="C45" s="7" t="s">
        <v>231</v>
      </c>
    </row>
    <row r="47" spans="1:4" x14ac:dyDescent="0.25">
      <c r="A47" s="14" t="str">
        <f>IF(SecuredCreditorOutputs!$I$2=0," ",SecuredCreditorOutputs!$I$2)</f>
        <v xml:space="preserve"> </v>
      </c>
      <c r="B47" s="11"/>
      <c r="C47" s="11"/>
    </row>
    <row r="48" spans="1:4" x14ac:dyDescent="0.25">
      <c r="A48" s="14" t="str">
        <f>IF(SecuredCreditorOutputs!$I$3=0," ",SecuredCreditorOutputs!$I$3)</f>
        <v xml:space="preserve"> </v>
      </c>
      <c r="B48" s="11"/>
      <c r="C48" s="11"/>
    </row>
    <row r="49" spans="1:3" x14ac:dyDescent="0.25">
      <c r="A49" s="14" t="str">
        <f>IF(SecuredCreditorOutputs!$I$4=0," ",SecuredCreditorOutputs!$I$4)</f>
        <v xml:space="preserve"> </v>
      </c>
      <c r="B49" s="11"/>
      <c r="C49" s="11"/>
    </row>
    <row r="50" spans="1:3" x14ac:dyDescent="0.25">
      <c r="A50" s="14" t="str">
        <f>IF(SecuredCreditorOutputs!$I$5=0," ",SecuredCreditorOutputs!$I$5)</f>
        <v xml:space="preserve"> </v>
      </c>
      <c r="B50" s="11"/>
      <c r="C50" s="11"/>
    </row>
    <row r="51" spans="1:3" x14ac:dyDescent="0.25">
      <c r="A51" s="14" t="str">
        <f>IF(SecuredCreditorOutputs!$I$6=0," ",SecuredCreditorOutputs!$I$6)</f>
        <v xml:space="preserve"> </v>
      </c>
      <c r="B51" s="11"/>
      <c r="C51" s="11"/>
    </row>
    <row r="52" spans="1:3" x14ac:dyDescent="0.25">
      <c r="A52" s="14" t="str">
        <f>IF(SecuredCreditorOutputs!$I$7=0," ",SecuredCreditorOutputs!$I$7)</f>
        <v xml:space="preserve"> </v>
      </c>
      <c r="B52" s="11"/>
      <c r="C52" s="11"/>
    </row>
    <row r="53" spans="1:3" x14ac:dyDescent="0.25">
      <c r="A53" s="14" t="str">
        <f>IF(SecuredCreditorOutputs!$I$8=0," ",SecuredCreditorOutputs!$I$8)</f>
        <v xml:space="preserve"> </v>
      </c>
      <c r="B53" s="11"/>
      <c r="C53" s="11"/>
    </row>
    <row r="54" spans="1:3" x14ac:dyDescent="0.25">
      <c r="A54" s="14" t="str">
        <f>IF(SecuredCreditorOutputs!$I$9=0," ",SecuredCreditorOutputs!$I$9)</f>
        <v xml:space="preserve"> </v>
      </c>
      <c r="B54" s="11"/>
      <c r="C54" s="11"/>
    </row>
    <row r="55" spans="1:3" x14ac:dyDescent="0.25">
      <c r="A55" s="14" t="str">
        <f>IF(SecuredCreditorOutputs!$I$10=0," ",SecuredCreditorOutputs!$I$10)</f>
        <v xml:space="preserve"> </v>
      </c>
      <c r="B55" s="11"/>
      <c r="C55" s="11"/>
    </row>
    <row r="56" spans="1:3" x14ac:dyDescent="0.25">
      <c r="A56" s="14" t="str">
        <f>IF(SecuredCreditorOutputs!$I$11=0," ",SecuredCreditorOutputs!$I$11)</f>
        <v xml:space="preserve"> </v>
      </c>
      <c r="B56" s="11"/>
      <c r="C56" s="11"/>
    </row>
  </sheetData>
  <dataValidations count="5">
    <dataValidation type="list" allowBlank="1" showInputMessage="1" showErrorMessage="1" sqref="B8">
      <formula1>Race</formula1>
    </dataValidation>
    <dataValidation type="list" allowBlank="1" showInputMessage="1" showErrorMessage="1" sqref="B10">
      <formula1>$L$3:$L$5</formula1>
    </dataValidation>
    <dataValidation type="list" allowBlank="1" showInputMessage="1" showErrorMessage="1" sqref="C19:C28 D34:D43 C47:C56">
      <formula1>$M$3:$M$4</formula1>
    </dataValidation>
    <dataValidation type="list" allowBlank="1" showInputMessage="1" showErrorMessage="1" sqref="D8">
      <formula1>$K$10:$K$18</formula1>
    </dataValidation>
    <dataValidation type="list" allowBlank="1" showInputMessage="1" showErrorMessage="1" sqref="B9">
      <formula1>$K$3:$K$5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AnalysisMenu">
                <anchor moveWithCells="1">
                  <from>
                    <xdr:col>1</xdr:col>
                    <xdr:colOff>447675</xdr:colOff>
                    <xdr:row>1</xdr:row>
                    <xdr:rowOff>114300</xdr:rowOff>
                  </from>
                  <to>
                    <xdr:col>2</xdr:col>
                    <xdr:colOff>971550</xdr:colOff>
                    <xdr:row>2</xdr:row>
                    <xdr:rowOff>161925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5:AI157"/>
  <sheetViews>
    <sheetView topLeftCell="E1" workbookViewId="0">
      <selection activeCell="AG95" sqref="AG95"/>
    </sheetView>
  </sheetViews>
  <sheetFormatPr defaultRowHeight="15" x14ac:dyDescent="0.25"/>
  <cols>
    <col min="7" max="7" width="11.5703125" customWidth="1"/>
    <col min="29" max="29" width="21.28515625" customWidth="1"/>
    <col min="31" max="31" width="14" customWidth="1"/>
  </cols>
  <sheetData>
    <row r="5" spans="3:35" ht="15.75" thickBot="1" x14ac:dyDescent="0.3"/>
    <row r="6" spans="3:35" ht="48" customHeight="1" thickBot="1" x14ac:dyDescent="0.3">
      <c r="C6" s="37" t="s">
        <v>331</v>
      </c>
      <c r="D6" s="38" t="s">
        <v>332</v>
      </c>
      <c r="E6" s="39" t="s">
        <v>333</v>
      </c>
      <c r="F6" s="39" t="s">
        <v>334</v>
      </c>
      <c r="G6" s="39" t="s">
        <v>335</v>
      </c>
      <c r="I6" s="58"/>
      <c r="J6" s="59" t="s">
        <v>345</v>
      </c>
      <c r="L6" s="196" t="s">
        <v>16</v>
      </c>
      <c r="M6" s="198" t="s">
        <v>348</v>
      </c>
      <c r="N6" s="200" t="s">
        <v>349</v>
      </c>
      <c r="O6" s="201"/>
      <c r="P6" s="202"/>
      <c r="R6" s="217" t="s">
        <v>406</v>
      </c>
      <c r="S6" s="217"/>
      <c r="T6" s="217"/>
      <c r="U6" s="217"/>
      <c r="V6" s="217"/>
      <c r="W6" s="217"/>
      <c r="X6" s="217"/>
      <c r="Y6" s="217"/>
      <c r="Z6" s="217"/>
      <c r="AA6" s="218"/>
      <c r="AB6" s="62"/>
      <c r="AC6" s="62"/>
      <c r="AG6" s="209" t="s">
        <v>480</v>
      </c>
      <c r="AH6" s="210"/>
      <c r="AI6" s="210"/>
    </row>
    <row r="7" spans="3:35" ht="18" customHeight="1" x14ac:dyDescent="0.25">
      <c r="C7" s="40" t="s">
        <v>336</v>
      </c>
      <c r="D7" s="41">
        <v>315</v>
      </c>
      <c r="E7" s="42">
        <v>556</v>
      </c>
      <c r="F7" s="42">
        <v>645</v>
      </c>
      <c r="G7" s="42">
        <v>777</v>
      </c>
      <c r="I7" s="60" t="s">
        <v>346</v>
      </c>
      <c r="J7" s="61">
        <v>60</v>
      </c>
      <c r="L7" s="197"/>
      <c r="M7" s="199"/>
      <c r="N7" s="64" t="s">
        <v>350</v>
      </c>
      <c r="O7" s="74" t="s">
        <v>351</v>
      </c>
      <c r="P7" s="72" t="s">
        <v>352</v>
      </c>
      <c r="T7" s="219" t="s">
        <v>407</v>
      </c>
      <c r="U7" s="220"/>
      <c r="V7" s="75" t="s">
        <v>350</v>
      </c>
      <c r="W7" s="83"/>
      <c r="X7" s="75" t="s">
        <v>351</v>
      </c>
      <c r="Y7" s="83"/>
      <c r="Z7" s="75" t="s">
        <v>408</v>
      </c>
      <c r="AA7" s="83"/>
      <c r="AB7" s="75" t="s">
        <v>409</v>
      </c>
      <c r="AC7" s="90"/>
      <c r="AG7" s="211" t="s">
        <v>481</v>
      </c>
      <c r="AH7" s="212"/>
      <c r="AI7" s="212"/>
    </row>
    <row r="8" spans="3:35" ht="47.25" x14ac:dyDescent="0.25">
      <c r="C8" s="40" t="s">
        <v>337</v>
      </c>
      <c r="D8" s="41">
        <v>30</v>
      </c>
      <c r="E8" s="43">
        <v>66</v>
      </c>
      <c r="F8" s="43">
        <v>65</v>
      </c>
      <c r="G8" s="43">
        <v>74</v>
      </c>
      <c r="I8" s="60" t="s">
        <v>347</v>
      </c>
      <c r="J8" s="61">
        <v>144</v>
      </c>
      <c r="L8" s="65"/>
      <c r="M8" s="73">
        <v>1</v>
      </c>
      <c r="N8" s="63">
        <v>2</v>
      </c>
      <c r="O8" s="66">
        <v>3</v>
      </c>
      <c r="P8" s="67">
        <v>4</v>
      </c>
      <c r="R8" s="205" t="s">
        <v>14</v>
      </c>
      <c r="S8" s="207" t="s">
        <v>410</v>
      </c>
      <c r="T8" s="76" t="s">
        <v>411</v>
      </c>
      <c r="U8" s="76" t="s">
        <v>412</v>
      </c>
      <c r="V8" s="76" t="s">
        <v>411</v>
      </c>
      <c r="W8" s="76" t="s">
        <v>412</v>
      </c>
      <c r="X8" s="76" t="s">
        <v>411</v>
      </c>
      <c r="Y8" s="76" t="s">
        <v>412</v>
      </c>
      <c r="Z8" s="76" t="s">
        <v>411</v>
      </c>
      <c r="AA8" s="76" t="s">
        <v>412</v>
      </c>
      <c r="AB8" s="76" t="s">
        <v>411</v>
      </c>
      <c r="AC8" s="81" t="s">
        <v>412</v>
      </c>
      <c r="AG8" s="213" t="s">
        <v>482</v>
      </c>
      <c r="AH8" s="214"/>
      <c r="AI8" s="214"/>
    </row>
    <row r="9" spans="3:35" ht="47.25" x14ac:dyDescent="0.25">
      <c r="C9" s="40" t="s">
        <v>338</v>
      </c>
      <c r="D9" s="41">
        <v>88</v>
      </c>
      <c r="E9" s="43">
        <v>162</v>
      </c>
      <c r="F9" s="43">
        <v>209</v>
      </c>
      <c r="G9" s="43">
        <v>244</v>
      </c>
      <c r="L9" s="68" t="s">
        <v>353</v>
      </c>
      <c r="M9" s="69">
        <v>40120</v>
      </c>
      <c r="N9" s="69">
        <v>49163</v>
      </c>
      <c r="O9" s="69">
        <v>52215</v>
      </c>
      <c r="P9" s="69">
        <v>64700</v>
      </c>
      <c r="R9" s="206"/>
      <c r="S9" s="208"/>
      <c r="T9" s="77" t="s">
        <v>140</v>
      </c>
      <c r="U9" s="77" t="s">
        <v>65</v>
      </c>
      <c r="V9" s="77" t="s">
        <v>140</v>
      </c>
      <c r="W9" s="77" t="s">
        <v>65</v>
      </c>
      <c r="X9" s="77" t="s">
        <v>140</v>
      </c>
      <c r="Y9" s="77" t="s">
        <v>65</v>
      </c>
      <c r="Z9" s="77" t="s">
        <v>140</v>
      </c>
      <c r="AA9" s="77" t="s">
        <v>65</v>
      </c>
      <c r="AB9" s="77" t="s">
        <v>140</v>
      </c>
      <c r="AC9" s="82" t="s">
        <v>65</v>
      </c>
      <c r="AG9" s="93" t="s">
        <v>483</v>
      </c>
      <c r="AH9" s="215">
        <v>182</v>
      </c>
      <c r="AI9" s="216"/>
    </row>
    <row r="10" spans="3:35" ht="78.75" x14ac:dyDescent="0.25">
      <c r="C10" s="40" t="s">
        <v>339</v>
      </c>
      <c r="D10" s="41">
        <v>34</v>
      </c>
      <c r="E10" s="43">
        <v>60</v>
      </c>
      <c r="F10" s="43">
        <v>64</v>
      </c>
      <c r="G10" s="43">
        <v>70</v>
      </c>
      <c r="L10" s="68" t="s">
        <v>354</v>
      </c>
      <c r="M10" s="69">
        <v>53804</v>
      </c>
      <c r="N10" s="69">
        <v>71624</v>
      </c>
      <c r="O10" s="69">
        <v>82198</v>
      </c>
      <c r="P10" s="69">
        <v>88373</v>
      </c>
      <c r="R10" s="83"/>
      <c r="S10" s="78"/>
      <c r="T10" s="78">
        <v>1</v>
      </c>
      <c r="U10" s="78">
        <v>1</v>
      </c>
      <c r="V10" s="78">
        <v>2</v>
      </c>
      <c r="W10" s="78">
        <v>2</v>
      </c>
      <c r="X10" s="78">
        <v>3</v>
      </c>
      <c r="Y10" s="78">
        <v>3</v>
      </c>
      <c r="Z10" s="78">
        <v>4</v>
      </c>
      <c r="AA10" s="78">
        <v>4</v>
      </c>
      <c r="AB10" s="78">
        <v>5</v>
      </c>
      <c r="AC10" s="75">
        <v>5</v>
      </c>
      <c r="AG10" s="223" t="s">
        <v>484</v>
      </c>
      <c r="AH10" s="224"/>
      <c r="AI10" s="224"/>
    </row>
    <row r="11" spans="3:35" ht="32.25" thickBot="1" x14ac:dyDescent="0.3">
      <c r="C11" s="44" t="s">
        <v>340</v>
      </c>
      <c r="D11" s="45">
        <v>116</v>
      </c>
      <c r="E11" s="46">
        <v>209</v>
      </c>
      <c r="F11" s="46">
        <v>251</v>
      </c>
      <c r="G11" s="46">
        <v>300</v>
      </c>
      <c r="L11" s="68" t="s">
        <v>355</v>
      </c>
      <c r="M11" s="69">
        <v>42107</v>
      </c>
      <c r="N11" s="69">
        <v>55118</v>
      </c>
      <c r="O11" s="69">
        <v>55654</v>
      </c>
      <c r="P11" s="69">
        <v>61023</v>
      </c>
      <c r="R11" s="84" t="s">
        <v>413</v>
      </c>
      <c r="S11" s="79">
        <v>1001</v>
      </c>
      <c r="T11" s="80">
        <v>467</v>
      </c>
      <c r="U11" s="80">
        <v>773</v>
      </c>
      <c r="V11" s="80">
        <v>549</v>
      </c>
      <c r="W11" s="80">
        <v>907</v>
      </c>
      <c r="X11" s="80">
        <v>578</v>
      </c>
      <c r="Y11" s="80">
        <v>956</v>
      </c>
      <c r="Z11" s="80">
        <v>645</v>
      </c>
      <c r="AA11" s="80">
        <v>1066</v>
      </c>
      <c r="AB11" s="80">
        <v>655</v>
      </c>
      <c r="AC11" s="85">
        <v>1083</v>
      </c>
      <c r="AG11" s="211" t="s">
        <v>481</v>
      </c>
      <c r="AH11" s="212"/>
      <c r="AI11" s="212"/>
    </row>
    <row r="12" spans="3:35" ht="23.25" thickBot="1" x14ac:dyDescent="0.3">
      <c r="C12" s="47" t="s">
        <v>341</v>
      </c>
      <c r="D12" s="48">
        <v>583</v>
      </c>
      <c r="E12" s="49">
        <v>1053</v>
      </c>
      <c r="F12" s="49">
        <v>1234</v>
      </c>
      <c r="G12" s="49">
        <v>1465</v>
      </c>
      <c r="L12" s="68" t="s">
        <v>356</v>
      </c>
      <c r="M12" s="69">
        <v>36505</v>
      </c>
      <c r="N12" s="69">
        <v>46333</v>
      </c>
      <c r="O12" s="69">
        <v>49494</v>
      </c>
      <c r="P12" s="69">
        <v>56591</v>
      </c>
      <c r="R12" s="84" t="s">
        <v>414</v>
      </c>
      <c r="S12" s="79">
        <v>1003</v>
      </c>
      <c r="T12" s="80">
        <v>421</v>
      </c>
      <c r="U12" s="80">
        <v>943</v>
      </c>
      <c r="V12" s="80">
        <v>495</v>
      </c>
      <c r="W12" s="80">
        <v>1107</v>
      </c>
      <c r="X12" s="80">
        <v>522</v>
      </c>
      <c r="Y12" s="80">
        <v>1166</v>
      </c>
      <c r="Z12" s="80">
        <v>582</v>
      </c>
      <c r="AA12" s="80">
        <v>1300</v>
      </c>
      <c r="AB12" s="80">
        <v>591</v>
      </c>
      <c r="AC12" s="85">
        <v>1321</v>
      </c>
      <c r="AG12" s="213" t="s">
        <v>482</v>
      </c>
      <c r="AH12" s="214"/>
      <c r="AI12" s="214"/>
    </row>
    <row r="13" spans="3:35" ht="22.5" x14ac:dyDescent="0.25">
      <c r="C13" s="50"/>
      <c r="D13" s="51"/>
      <c r="E13" s="51"/>
      <c r="F13" s="51"/>
      <c r="G13" s="51"/>
      <c r="L13" s="68" t="s">
        <v>357</v>
      </c>
      <c r="M13" s="69">
        <v>48415</v>
      </c>
      <c r="N13" s="69">
        <v>63030</v>
      </c>
      <c r="O13" s="69">
        <v>67401</v>
      </c>
      <c r="P13" s="69">
        <v>75656</v>
      </c>
      <c r="R13" s="84" t="s">
        <v>415</v>
      </c>
      <c r="S13" s="79">
        <v>1005</v>
      </c>
      <c r="T13" s="80">
        <v>472</v>
      </c>
      <c r="U13" s="80">
        <v>524</v>
      </c>
      <c r="V13" s="80">
        <v>555</v>
      </c>
      <c r="W13" s="80">
        <v>615</v>
      </c>
      <c r="X13" s="80">
        <v>584</v>
      </c>
      <c r="Y13" s="80">
        <v>648</v>
      </c>
      <c r="Z13" s="80">
        <v>651</v>
      </c>
      <c r="AA13" s="80">
        <v>723</v>
      </c>
      <c r="AB13" s="80">
        <v>662</v>
      </c>
      <c r="AC13" s="85">
        <v>734</v>
      </c>
      <c r="AG13" s="93" t="s">
        <v>485</v>
      </c>
      <c r="AH13" s="91" t="s">
        <v>486</v>
      </c>
      <c r="AI13" s="94" t="s">
        <v>487</v>
      </c>
    </row>
    <row r="14" spans="3:35" ht="23.25" thickBot="1" x14ac:dyDescent="0.3">
      <c r="C14" s="52"/>
      <c r="D14" s="53"/>
      <c r="E14" s="54"/>
      <c r="F14" s="54"/>
      <c r="G14" s="54"/>
      <c r="L14" s="68" t="s">
        <v>358</v>
      </c>
      <c r="M14" s="69">
        <v>49549</v>
      </c>
      <c r="N14" s="69">
        <v>65631</v>
      </c>
      <c r="O14" s="69">
        <v>72259</v>
      </c>
      <c r="P14" s="69">
        <v>86787</v>
      </c>
      <c r="R14" s="84" t="s">
        <v>416</v>
      </c>
      <c r="S14" s="79">
        <v>1007</v>
      </c>
      <c r="T14" s="80">
        <v>463</v>
      </c>
      <c r="U14" s="80">
        <v>611</v>
      </c>
      <c r="V14" s="80">
        <v>543</v>
      </c>
      <c r="W14" s="80">
        <v>718</v>
      </c>
      <c r="X14" s="80">
        <v>573</v>
      </c>
      <c r="Y14" s="80">
        <v>756</v>
      </c>
      <c r="Z14" s="80">
        <v>639</v>
      </c>
      <c r="AA14" s="80">
        <v>843</v>
      </c>
      <c r="AB14" s="80">
        <v>649</v>
      </c>
      <c r="AC14" s="85">
        <v>857</v>
      </c>
      <c r="AG14" s="95" t="s">
        <v>488</v>
      </c>
      <c r="AH14" s="92">
        <v>244</v>
      </c>
      <c r="AI14" s="96">
        <v>488</v>
      </c>
    </row>
    <row r="15" spans="3:35" ht="63.75" thickBot="1" x14ac:dyDescent="0.3">
      <c r="C15" s="55" t="s">
        <v>342</v>
      </c>
      <c r="D15" s="39" t="s">
        <v>343</v>
      </c>
      <c r="E15" s="54"/>
      <c r="F15" s="54"/>
      <c r="G15" s="54"/>
      <c r="L15" s="68" t="s">
        <v>359</v>
      </c>
      <c r="M15" s="69">
        <v>58337</v>
      </c>
      <c r="N15" s="69">
        <v>72878</v>
      </c>
      <c r="O15" s="69">
        <v>86390</v>
      </c>
      <c r="P15" s="69">
        <v>102530</v>
      </c>
      <c r="R15" s="84" t="s">
        <v>417</v>
      </c>
      <c r="S15" s="79">
        <v>1009</v>
      </c>
      <c r="T15" s="80">
        <v>447</v>
      </c>
      <c r="U15" s="80">
        <v>674</v>
      </c>
      <c r="V15" s="80">
        <v>525</v>
      </c>
      <c r="W15" s="80">
        <v>791</v>
      </c>
      <c r="X15" s="80">
        <v>553</v>
      </c>
      <c r="Y15" s="80">
        <v>834</v>
      </c>
      <c r="Z15" s="80">
        <v>617</v>
      </c>
      <c r="AA15" s="80">
        <v>929</v>
      </c>
      <c r="AB15" s="80">
        <v>627</v>
      </c>
      <c r="AC15" s="85">
        <v>944</v>
      </c>
      <c r="AG15" s="225" t="s">
        <v>489</v>
      </c>
      <c r="AH15" s="226"/>
      <c r="AI15" s="226"/>
    </row>
    <row r="16" spans="3:35" ht="142.5" thickBot="1" x14ac:dyDescent="0.3">
      <c r="C16" s="56" t="s">
        <v>344</v>
      </c>
      <c r="D16" s="57">
        <v>281</v>
      </c>
      <c r="E16" s="54"/>
      <c r="F16" s="54"/>
      <c r="G16" s="54"/>
      <c r="L16" s="68" t="s">
        <v>360</v>
      </c>
      <c r="M16" s="69">
        <v>48284</v>
      </c>
      <c r="N16" s="69">
        <v>62707</v>
      </c>
      <c r="O16" s="69">
        <v>73284</v>
      </c>
      <c r="P16" s="69">
        <v>85150</v>
      </c>
      <c r="R16" s="84" t="s">
        <v>418</v>
      </c>
      <c r="S16" s="79">
        <v>1011</v>
      </c>
      <c r="T16" s="80">
        <v>484</v>
      </c>
      <c r="U16" s="80">
        <v>549</v>
      </c>
      <c r="V16" s="80">
        <v>569</v>
      </c>
      <c r="W16" s="80">
        <v>644</v>
      </c>
      <c r="X16" s="80">
        <v>599</v>
      </c>
      <c r="Y16" s="80">
        <v>679</v>
      </c>
      <c r="Z16" s="80">
        <v>668</v>
      </c>
      <c r="AA16" s="80">
        <v>757</v>
      </c>
      <c r="AB16" s="80">
        <v>679</v>
      </c>
      <c r="AC16" s="85">
        <v>769</v>
      </c>
      <c r="AG16" s="95" t="s">
        <v>490</v>
      </c>
      <c r="AH16" s="92">
        <v>256</v>
      </c>
      <c r="AI16" s="96">
        <v>512</v>
      </c>
    </row>
    <row r="17" spans="4:35" ht="22.5" x14ac:dyDescent="0.25">
      <c r="L17" s="68" t="s">
        <v>361</v>
      </c>
      <c r="M17" s="69">
        <v>50186</v>
      </c>
      <c r="N17" s="69">
        <v>81960</v>
      </c>
      <c r="O17" s="69">
        <v>81960</v>
      </c>
      <c r="P17" s="69">
        <v>81960</v>
      </c>
      <c r="R17" s="84" t="s">
        <v>419</v>
      </c>
      <c r="S17" s="79">
        <v>1013</v>
      </c>
      <c r="T17" s="80">
        <v>470</v>
      </c>
      <c r="U17" s="80">
        <v>519</v>
      </c>
      <c r="V17" s="80">
        <v>552</v>
      </c>
      <c r="W17" s="80">
        <v>610</v>
      </c>
      <c r="X17" s="80">
        <v>581</v>
      </c>
      <c r="Y17" s="80">
        <v>643</v>
      </c>
      <c r="Z17" s="80">
        <v>648</v>
      </c>
      <c r="AA17" s="80">
        <v>717</v>
      </c>
      <c r="AB17" s="80">
        <v>659</v>
      </c>
      <c r="AC17" s="85">
        <v>728</v>
      </c>
      <c r="AG17" s="95" t="s">
        <v>491</v>
      </c>
      <c r="AH17" s="92">
        <v>250</v>
      </c>
      <c r="AI17" s="96">
        <v>500</v>
      </c>
    </row>
    <row r="18" spans="4:35" ht="22.5" x14ac:dyDescent="0.25">
      <c r="D18" s="17" t="s">
        <v>499</v>
      </c>
      <c r="E18" s="17" t="s">
        <v>500</v>
      </c>
      <c r="G18" s="17" t="s">
        <v>503</v>
      </c>
      <c r="H18" s="17" t="s">
        <v>504</v>
      </c>
      <c r="L18" s="68" t="s">
        <v>362</v>
      </c>
      <c r="M18" s="69">
        <v>41915</v>
      </c>
      <c r="N18" s="69">
        <v>51760</v>
      </c>
      <c r="O18" s="69">
        <v>54934</v>
      </c>
      <c r="P18" s="69">
        <v>65260</v>
      </c>
      <c r="R18" s="84" t="s">
        <v>420</v>
      </c>
      <c r="S18" s="79">
        <v>1015</v>
      </c>
      <c r="T18" s="80">
        <v>447</v>
      </c>
      <c r="U18" s="80">
        <v>614</v>
      </c>
      <c r="V18" s="80">
        <v>525</v>
      </c>
      <c r="W18" s="80">
        <v>721</v>
      </c>
      <c r="X18" s="80">
        <v>553</v>
      </c>
      <c r="Y18" s="80">
        <v>760</v>
      </c>
      <c r="Z18" s="80">
        <v>616</v>
      </c>
      <c r="AA18" s="80">
        <v>848</v>
      </c>
      <c r="AB18" s="80">
        <v>626</v>
      </c>
      <c r="AC18" s="85">
        <v>862</v>
      </c>
      <c r="AG18" s="95" t="s">
        <v>492</v>
      </c>
      <c r="AH18" s="92">
        <v>277</v>
      </c>
      <c r="AI18" s="96">
        <v>554</v>
      </c>
    </row>
    <row r="19" spans="4:35" ht="22.5" x14ac:dyDescent="0.25">
      <c r="D19">
        <v>1</v>
      </c>
      <c r="E19" s="4">
        <v>583</v>
      </c>
      <c r="G19" t="s">
        <v>502</v>
      </c>
      <c r="H19" s="4">
        <v>144</v>
      </c>
      <c r="L19" s="68" t="s">
        <v>363</v>
      </c>
      <c r="M19" s="69">
        <v>41214</v>
      </c>
      <c r="N19" s="69">
        <v>51954</v>
      </c>
      <c r="O19" s="69">
        <v>56189</v>
      </c>
      <c r="P19" s="69">
        <v>67214</v>
      </c>
      <c r="R19" s="84" t="s">
        <v>421</v>
      </c>
      <c r="S19" s="79">
        <v>1017</v>
      </c>
      <c r="T19" s="80">
        <v>468</v>
      </c>
      <c r="U19" s="80">
        <v>533</v>
      </c>
      <c r="V19" s="80">
        <v>550</v>
      </c>
      <c r="W19" s="80">
        <v>625</v>
      </c>
      <c r="X19" s="80">
        <v>580</v>
      </c>
      <c r="Y19" s="80">
        <v>659</v>
      </c>
      <c r="Z19" s="80">
        <v>646</v>
      </c>
      <c r="AA19" s="80">
        <v>735</v>
      </c>
      <c r="AB19" s="80">
        <v>657</v>
      </c>
      <c r="AC19" s="85">
        <v>746</v>
      </c>
      <c r="AG19" s="95" t="s">
        <v>493</v>
      </c>
      <c r="AH19" s="92">
        <v>312</v>
      </c>
      <c r="AI19" s="96">
        <v>624</v>
      </c>
    </row>
    <row r="20" spans="4:35" ht="22.5" x14ac:dyDescent="0.25">
      <c r="D20">
        <v>2</v>
      </c>
      <c r="E20" s="4">
        <v>1053</v>
      </c>
      <c r="G20" t="s">
        <v>346</v>
      </c>
      <c r="H20" s="4">
        <v>60</v>
      </c>
      <c r="L20" s="68" t="s">
        <v>364</v>
      </c>
      <c r="M20" s="69">
        <v>49919</v>
      </c>
      <c r="N20" s="69">
        <v>63896</v>
      </c>
      <c r="O20" s="69">
        <v>76001</v>
      </c>
      <c r="P20" s="69">
        <v>84690</v>
      </c>
      <c r="R20" s="84" t="s">
        <v>422</v>
      </c>
      <c r="S20" s="79">
        <v>1019</v>
      </c>
      <c r="T20" s="80">
        <v>502</v>
      </c>
      <c r="U20" s="80">
        <v>549</v>
      </c>
      <c r="V20" s="80">
        <v>590</v>
      </c>
      <c r="W20" s="80">
        <v>645</v>
      </c>
      <c r="X20" s="80">
        <v>622</v>
      </c>
      <c r="Y20" s="80">
        <v>679</v>
      </c>
      <c r="Z20" s="80">
        <v>693</v>
      </c>
      <c r="AA20" s="80">
        <v>757</v>
      </c>
      <c r="AB20" s="80">
        <v>705</v>
      </c>
      <c r="AC20" s="85">
        <v>769</v>
      </c>
      <c r="AG20" s="95" t="s">
        <v>494</v>
      </c>
      <c r="AH20" s="92">
        <v>346</v>
      </c>
      <c r="AI20" s="96">
        <v>692</v>
      </c>
    </row>
    <row r="21" spans="4:35" ht="22.5" x14ac:dyDescent="0.25">
      <c r="D21">
        <v>3</v>
      </c>
      <c r="E21" s="4">
        <v>1234</v>
      </c>
      <c r="L21" s="68" t="s">
        <v>365</v>
      </c>
      <c r="M21" s="69">
        <v>41785</v>
      </c>
      <c r="N21" s="69">
        <v>49896</v>
      </c>
      <c r="O21" s="69">
        <v>50506</v>
      </c>
      <c r="P21" s="69">
        <v>62322</v>
      </c>
      <c r="R21" s="84" t="s">
        <v>423</v>
      </c>
      <c r="S21" s="79">
        <v>1021</v>
      </c>
      <c r="T21" s="80">
        <v>475</v>
      </c>
      <c r="U21" s="80">
        <v>598</v>
      </c>
      <c r="V21" s="80">
        <v>558</v>
      </c>
      <c r="W21" s="80">
        <v>702</v>
      </c>
      <c r="X21" s="80">
        <v>588</v>
      </c>
      <c r="Y21" s="80">
        <v>740</v>
      </c>
      <c r="Z21" s="80">
        <v>656</v>
      </c>
      <c r="AA21" s="80">
        <v>825</v>
      </c>
      <c r="AB21" s="80">
        <v>666</v>
      </c>
      <c r="AC21" s="85">
        <v>838</v>
      </c>
      <c r="AG21" s="95" t="s">
        <v>495</v>
      </c>
      <c r="AH21" s="92">
        <v>277</v>
      </c>
      <c r="AI21" s="96">
        <v>554</v>
      </c>
    </row>
    <row r="22" spans="4:35" ht="22.5" customHeight="1" x14ac:dyDescent="0.25">
      <c r="D22">
        <v>4</v>
      </c>
      <c r="E22" s="4">
        <v>1465</v>
      </c>
      <c r="L22" s="68" t="s">
        <v>366</v>
      </c>
      <c r="M22" s="69">
        <v>47485</v>
      </c>
      <c r="N22" s="69">
        <v>59861</v>
      </c>
      <c r="O22" s="69">
        <v>68721</v>
      </c>
      <c r="P22" s="69">
        <v>80776</v>
      </c>
      <c r="R22" s="84" t="s">
        <v>424</v>
      </c>
      <c r="S22" s="79">
        <v>1023</v>
      </c>
      <c r="T22" s="80">
        <v>478</v>
      </c>
      <c r="U22" s="80">
        <v>481</v>
      </c>
      <c r="V22" s="80">
        <v>561</v>
      </c>
      <c r="W22" s="80">
        <v>565</v>
      </c>
      <c r="X22" s="80">
        <v>591</v>
      </c>
      <c r="Y22" s="80">
        <v>596</v>
      </c>
      <c r="Z22" s="80">
        <v>659</v>
      </c>
      <c r="AA22" s="80">
        <v>665</v>
      </c>
      <c r="AB22" s="80">
        <v>670</v>
      </c>
      <c r="AC22" s="85">
        <v>675</v>
      </c>
      <c r="AG22" s="223" t="s">
        <v>496</v>
      </c>
      <c r="AH22" s="224"/>
      <c r="AI22" s="224"/>
    </row>
    <row r="23" spans="4:35" ht="22.5" customHeight="1" x14ac:dyDescent="0.25">
      <c r="D23">
        <v>5</v>
      </c>
      <c r="E23" s="4">
        <v>1746</v>
      </c>
      <c r="L23" s="68" t="s">
        <v>367</v>
      </c>
      <c r="M23" s="69">
        <v>42089</v>
      </c>
      <c r="N23" s="69">
        <v>52618</v>
      </c>
      <c r="O23" s="69">
        <v>58916</v>
      </c>
      <c r="P23" s="69">
        <v>70763</v>
      </c>
      <c r="R23" s="84" t="s">
        <v>425</v>
      </c>
      <c r="S23" s="79">
        <v>1025</v>
      </c>
      <c r="T23" s="80">
        <v>480</v>
      </c>
      <c r="U23" s="80">
        <v>594</v>
      </c>
      <c r="V23" s="80">
        <v>564</v>
      </c>
      <c r="W23" s="80">
        <v>697</v>
      </c>
      <c r="X23" s="80">
        <v>594</v>
      </c>
      <c r="Y23" s="80">
        <v>735</v>
      </c>
      <c r="Z23" s="80">
        <v>662</v>
      </c>
      <c r="AA23" s="80">
        <v>820</v>
      </c>
      <c r="AB23" s="80">
        <v>673</v>
      </c>
      <c r="AC23" s="85">
        <v>833</v>
      </c>
      <c r="AG23" s="211" t="s">
        <v>497</v>
      </c>
      <c r="AH23" s="212"/>
      <c r="AI23" s="212"/>
    </row>
    <row r="24" spans="4:35" ht="22.5" customHeight="1" x14ac:dyDescent="0.25">
      <c r="D24">
        <v>6</v>
      </c>
      <c r="E24" s="4">
        <v>2027</v>
      </c>
      <c r="L24" s="68" t="s">
        <v>368</v>
      </c>
      <c r="M24" s="69">
        <v>42207</v>
      </c>
      <c r="N24" s="69">
        <v>58852</v>
      </c>
      <c r="O24" s="69">
        <v>64552</v>
      </c>
      <c r="P24" s="69">
        <v>78366</v>
      </c>
      <c r="R24" s="84" t="s">
        <v>426</v>
      </c>
      <c r="S24" s="79">
        <v>1027</v>
      </c>
      <c r="T24" s="80">
        <v>420</v>
      </c>
      <c r="U24" s="80">
        <v>551</v>
      </c>
      <c r="V24" s="80">
        <v>494</v>
      </c>
      <c r="W24" s="80">
        <v>647</v>
      </c>
      <c r="X24" s="80">
        <v>520</v>
      </c>
      <c r="Y24" s="80">
        <v>682</v>
      </c>
      <c r="Z24" s="80">
        <v>581</v>
      </c>
      <c r="AA24" s="80">
        <v>760</v>
      </c>
      <c r="AB24" s="80">
        <v>590</v>
      </c>
      <c r="AC24" s="85">
        <v>772</v>
      </c>
      <c r="AG24" s="213" t="s">
        <v>498</v>
      </c>
      <c r="AH24" s="214"/>
      <c r="AI24" s="214"/>
    </row>
    <row r="25" spans="4:35" ht="22.5" x14ac:dyDescent="0.25">
      <c r="D25">
        <v>7</v>
      </c>
      <c r="E25" s="4">
        <v>2308</v>
      </c>
      <c r="L25" s="68" t="s">
        <v>369</v>
      </c>
      <c r="M25" s="69">
        <v>42577</v>
      </c>
      <c r="N25" s="69">
        <v>56851</v>
      </c>
      <c r="O25" s="69">
        <v>65907</v>
      </c>
      <c r="P25" s="69">
        <v>76402</v>
      </c>
      <c r="R25" s="84" t="s">
        <v>427</v>
      </c>
      <c r="S25" s="79">
        <v>1029</v>
      </c>
      <c r="T25" s="80">
        <v>475</v>
      </c>
      <c r="U25" s="80">
        <v>537</v>
      </c>
      <c r="V25" s="80">
        <v>557</v>
      </c>
      <c r="W25" s="80">
        <v>631</v>
      </c>
      <c r="X25" s="80">
        <v>587</v>
      </c>
      <c r="Y25" s="80">
        <v>665</v>
      </c>
      <c r="Z25" s="80">
        <v>655</v>
      </c>
      <c r="AA25" s="80">
        <v>741</v>
      </c>
      <c r="AB25" s="80">
        <v>666</v>
      </c>
      <c r="AC25" s="85">
        <v>753</v>
      </c>
      <c r="AG25" s="221" t="s">
        <v>483</v>
      </c>
      <c r="AH25" s="91" t="s">
        <v>486</v>
      </c>
      <c r="AI25" s="94" t="s">
        <v>487</v>
      </c>
    </row>
    <row r="26" spans="4:35" ht="23.25" thickBot="1" x14ac:dyDescent="0.3">
      <c r="D26">
        <v>8</v>
      </c>
      <c r="E26" s="4">
        <v>2589</v>
      </c>
      <c r="L26" s="68" t="s">
        <v>370</v>
      </c>
      <c r="M26" s="69">
        <v>40020</v>
      </c>
      <c r="N26" s="69">
        <v>46815</v>
      </c>
      <c r="O26" s="69">
        <v>55613</v>
      </c>
      <c r="P26" s="69">
        <v>67783</v>
      </c>
      <c r="R26" s="84" t="s">
        <v>428</v>
      </c>
      <c r="S26" s="79">
        <v>1031</v>
      </c>
      <c r="T26" s="80">
        <v>444</v>
      </c>
      <c r="U26" s="80">
        <v>679</v>
      </c>
      <c r="V26" s="80">
        <v>521</v>
      </c>
      <c r="W26" s="80">
        <v>798</v>
      </c>
      <c r="X26" s="80">
        <v>549</v>
      </c>
      <c r="Y26" s="80">
        <v>841</v>
      </c>
      <c r="Z26" s="80">
        <v>612</v>
      </c>
      <c r="AA26" s="80">
        <v>938</v>
      </c>
      <c r="AB26" s="80">
        <v>622</v>
      </c>
      <c r="AC26" s="85">
        <v>953</v>
      </c>
      <c r="AG26" s="222"/>
      <c r="AH26" s="97">
        <v>517</v>
      </c>
      <c r="AI26" s="98">
        <v>1034</v>
      </c>
    </row>
    <row r="27" spans="4:35" ht="23.25" thickTop="1" x14ac:dyDescent="0.25">
      <c r="D27">
        <v>9</v>
      </c>
      <c r="E27" s="4">
        <v>2870</v>
      </c>
      <c r="L27" s="68" t="s">
        <v>371</v>
      </c>
      <c r="M27" s="69">
        <v>37967</v>
      </c>
      <c r="N27" s="69">
        <v>47731</v>
      </c>
      <c r="O27" s="69">
        <v>55863</v>
      </c>
      <c r="P27" s="69">
        <v>70347</v>
      </c>
      <c r="R27" s="84" t="s">
        <v>429</v>
      </c>
      <c r="S27" s="79">
        <v>1033</v>
      </c>
      <c r="T27" s="80">
        <v>481</v>
      </c>
      <c r="U27" s="80">
        <v>597</v>
      </c>
      <c r="V27" s="80">
        <v>565</v>
      </c>
      <c r="W27" s="80">
        <v>701</v>
      </c>
      <c r="X27" s="80">
        <v>595</v>
      </c>
      <c r="Y27" s="80">
        <v>739</v>
      </c>
      <c r="Z27" s="80">
        <v>663</v>
      </c>
      <c r="AA27" s="80">
        <v>824</v>
      </c>
      <c r="AB27" s="80">
        <v>674</v>
      </c>
      <c r="AC27" s="85">
        <v>838</v>
      </c>
    </row>
    <row r="28" spans="4:35" ht="22.5" x14ac:dyDescent="0.25">
      <c r="D28">
        <v>10</v>
      </c>
      <c r="E28" s="4">
        <v>3151</v>
      </c>
      <c r="L28" s="68" t="s">
        <v>372</v>
      </c>
      <c r="M28" s="69">
        <v>41488</v>
      </c>
      <c r="N28" s="69">
        <v>53227</v>
      </c>
      <c r="O28" s="69">
        <v>60425</v>
      </c>
      <c r="P28" s="69">
        <v>79931</v>
      </c>
      <c r="R28" s="84" t="s">
        <v>430</v>
      </c>
      <c r="S28" s="79">
        <v>1035</v>
      </c>
      <c r="T28" s="80">
        <v>434</v>
      </c>
      <c r="U28" s="80">
        <v>430</v>
      </c>
      <c r="V28" s="80">
        <v>510</v>
      </c>
      <c r="W28" s="80">
        <v>505</v>
      </c>
      <c r="X28" s="80">
        <v>537</v>
      </c>
      <c r="Y28" s="80">
        <v>533</v>
      </c>
      <c r="Z28" s="80">
        <v>599</v>
      </c>
      <c r="AA28" s="80">
        <v>594</v>
      </c>
      <c r="AB28" s="80">
        <v>608</v>
      </c>
      <c r="AC28" s="85">
        <v>604</v>
      </c>
    </row>
    <row r="29" spans="4:35" ht="22.5" x14ac:dyDescent="0.25">
      <c r="D29">
        <v>11</v>
      </c>
      <c r="E29" s="4">
        <v>3432</v>
      </c>
      <c r="L29" s="68" t="s">
        <v>373</v>
      </c>
      <c r="M29" s="69">
        <v>58269</v>
      </c>
      <c r="N29" s="69">
        <v>73685</v>
      </c>
      <c r="O29" s="69">
        <v>87206</v>
      </c>
      <c r="P29" s="69">
        <v>108915</v>
      </c>
      <c r="R29" s="84" t="s">
        <v>431</v>
      </c>
      <c r="S29" s="79">
        <v>1037</v>
      </c>
      <c r="T29" s="80">
        <v>463</v>
      </c>
      <c r="U29" s="80">
        <v>478</v>
      </c>
      <c r="V29" s="80">
        <v>544</v>
      </c>
      <c r="W29" s="80">
        <v>562</v>
      </c>
      <c r="X29" s="80">
        <v>573</v>
      </c>
      <c r="Y29" s="80">
        <v>592</v>
      </c>
      <c r="Z29" s="80">
        <v>639</v>
      </c>
      <c r="AA29" s="80">
        <v>660</v>
      </c>
      <c r="AB29" s="80">
        <v>649</v>
      </c>
      <c r="AC29" s="85">
        <v>671</v>
      </c>
    </row>
    <row r="30" spans="4:35" ht="22.5" x14ac:dyDescent="0.25">
      <c r="D30">
        <v>12</v>
      </c>
      <c r="E30" s="4">
        <v>3713</v>
      </c>
      <c r="L30" s="68" t="s">
        <v>374</v>
      </c>
      <c r="M30" s="69">
        <v>55602</v>
      </c>
      <c r="N30" s="69">
        <v>67443</v>
      </c>
      <c r="O30" s="69">
        <v>82495</v>
      </c>
      <c r="P30" s="69">
        <v>103624</v>
      </c>
      <c r="R30" s="84" t="s">
        <v>432</v>
      </c>
      <c r="S30" s="79">
        <v>1039</v>
      </c>
      <c r="T30" s="80">
        <v>458</v>
      </c>
      <c r="U30" s="80">
        <v>536</v>
      </c>
      <c r="V30" s="80">
        <v>538</v>
      </c>
      <c r="W30" s="80">
        <v>630</v>
      </c>
      <c r="X30" s="80">
        <v>567</v>
      </c>
      <c r="Y30" s="80">
        <v>663</v>
      </c>
      <c r="Z30" s="80">
        <v>632</v>
      </c>
      <c r="AA30" s="80">
        <v>740</v>
      </c>
      <c r="AB30" s="80">
        <v>643</v>
      </c>
      <c r="AC30" s="85">
        <v>751</v>
      </c>
    </row>
    <row r="31" spans="4:35" ht="22.5" x14ac:dyDescent="0.25">
      <c r="L31" s="68" t="s">
        <v>375</v>
      </c>
      <c r="M31" s="69">
        <v>45029</v>
      </c>
      <c r="N31" s="69">
        <v>52621</v>
      </c>
      <c r="O31" s="69">
        <v>61715</v>
      </c>
      <c r="P31" s="69">
        <v>73864</v>
      </c>
      <c r="R31" s="84" t="s">
        <v>433</v>
      </c>
      <c r="S31" s="79">
        <v>1041</v>
      </c>
      <c r="T31" s="80">
        <v>477</v>
      </c>
      <c r="U31" s="80">
        <v>603</v>
      </c>
      <c r="V31" s="80">
        <v>561</v>
      </c>
      <c r="W31" s="80">
        <v>708</v>
      </c>
      <c r="X31" s="80">
        <v>591</v>
      </c>
      <c r="Y31" s="80">
        <v>746</v>
      </c>
      <c r="Z31" s="80">
        <v>659</v>
      </c>
      <c r="AA31" s="80">
        <v>832</v>
      </c>
      <c r="AB31" s="80">
        <v>670</v>
      </c>
      <c r="AC31" s="85">
        <v>845</v>
      </c>
    </row>
    <row r="32" spans="4:35" ht="22.5" x14ac:dyDescent="0.25">
      <c r="L32" s="68" t="s">
        <v>376</v>
      </c>
      <c r="M32" s="69">
        <v>48097</v>
      </c>
      <c r="N32" s="69">
        <v>63654</v>
      </c>
      <c r="O32" s="69">
        <v>76909</v>
      </c>
      <c r="P32" s="69">
        <v>89126</v>
      </c>
      <c r="R32" s="84" t="s">
        <v>434</v>
      </c>
      <c r="S32" s="79">
        <v>1043</v>
      </c>
      <c r="T32" s="80">
        <v>434</v>
      </c>
      <c r="U32" s="80">
        <v>596</v>
      </c>
      <c r="V32" s="80">
        <v>509</v>
      </c>
      <c r="W32" s="80">
        <v>701</v>
      </c>
      <c r="X32" s="80">
        <v>537</v>
      </c>
      <c r="Y32" s="80">
        <v>738</v>
      </c>
      <c r="Z32" s="80">
        <v>599</v>
      </c>
      <c r="AA32" s="80">
        <v>823</v>
      </c>
      <c r="AB32" s="80">
        <v>608</v>
      </c>
      <c r="AC32" s="85">
        <v>837</v>
      </c>
    </row>
    <row r="33" spans="12:29" ht="22.5" x14ac:dyDescent="0.25">
      <c r="L33" s="68" t="s">
        <v>377</v>
      </c>
      <c r="M33" s="69">
        <v>36240</v>
      </c>
      <c r="N33" s="69">
        <v>43095</v>
      </c>
      <c r="O33" s="69">
        <v>46062</v>
      </c>
      <c r="P33" s="69">
        <v>59248</v>
      </c>
      <c r="R33" s="84" t="s">
        <v>435</v>
      </c>
      <c r="S33" s="79">
        <v>1045</v>
      </c>
      <c r="T33" s="80">
        <v>426</v>
      </c>
      <c r="U33" s="80">
        <v>592</v>
      </c>
      <c r="V33" s="80">
        <v>500</v>
      </c>
      <c r="W33" s="80">
        <v>695</v>
      </c>
      <c r="X33" s="80">
        <v>526</v>
      </c>
      <c r="Y33" s="80">
        <v>733</v>
      </c>
      <c r="Z33" s="80">
        <v>587</v>
      </c>
      <c r="AA33" s="80">
        <v>817</v>
      </c>
      <c r="AB33" s="80">
        <v>596</v>
      </c>
      <c r="AC33" s="85">
        <v>831</v>
      </c>
    </row>
    <row r="34" spans="12:29" ht="22.5" x14ac:dyDescent="0.25">
      <c r="L34" s="68" t="s">
        <v>378</v>
      </c>
      <c r="M34" s="69">
        <v>41092</v>
      </c>
      <c r="N34" s="69">
        <v>51784</v>
      </c>
      <c r="O34" s="69">
        <v>59549</v>
      </c>
      <c r="P34" s="69">
        <v>72150</v>
      </c>
      <c r="R34" s="84" t="s">
        <v>436</v>
      </c>
      <c r="S34" s="79">
        <v>1047</v>
      </c>
      <c r="T34" s="80">
        <v>495</v>
      </c>
      <c r="U34" s="80">
        <v>522</v>
      </c>
      <c r="V34" s="80">
        <v>581</v>
      </c>
      <c r="W34" s="80">
        <v>613</v>
      </c>
      <c r="X34" s="80">
        <v>613</v>
      </c>
      <c r="Y34" s="80">
        <v>645</v>
      </c>
      <c r="Z34" s="80">
        <v>683</v>
      </c>
      <c r="AA34" s="80">
        <v>720</v>
      </c>
      <c r="AB34" s="80">
        <v>694</v>
      </c>
      <c r="AC34" s="85">
        <v>732</v>
      </c>
    </row>
    <row r="35" spans="12:29" ht="22.5" x14ac:dyDescent="0.25">
      <c r="L35" s="68" t="s">
        <v>379</v>
      </c>
      <c r="M35" s="69">
        <v>42301</v>
      </c>
      <c r="N35" s="69">
        <v>54362</v>
      </c>
      <c r="O35" s="69">
        <v>56977</v>
      </c>
      <c r="P35" s="69">
        <v>67055</v>
      </c>
      <c r="R35" s="84" t="s">
        <v>437</v>
      </c>
      <c r="S35" s="79">
        <v>1049</v>
      </c>
      <c r="T35" s="80">
        <v>414</v>
      </c>
      <c r="U35" s="80">
        <v>505</v>
      </c>
      <c r="V35" s="80">
        <v>486</v>
      </c>
      <c r="W35" s="80">
        <v>593</v>
      </c>
      <c r="X35" s="80">
        <v>512</v>
      </c>
      <c r="Y35" s="80">
        <v>625</v>
      </c>
      <c r="Z35" s="80">
        <v>571</v>
      </c>
      <c r="AA35" s="80">
        <v>697</v>
      </c>
      <c r="AB35" s="80">
        <v>580</v>
      </c>
      <c r="AC35" s="85">
        <v>708</v>
      </c>
    </row>
    <row r="36" spans="12:29" ht="22.5" x14ac:dyDescent="0.25">
      <c r="L36" s="68" t="s">
        <v>380</v>
      </c>
      <c r="M36" s="69">
        <v>41861</v>
      </c>
      <c r="N36" s="69">
        <v>59543</v>
      </c>
      <c r="O36" s="69">
        <v>67235</v>
      </c>
      <c r="P36" s="69">
        <v>77057</v>
      </c>
      <c r="R36" s="84" t="s">
        <v>438</v>
      </c>
      <c r="S36" s="79">
        <v>1051</v>
      </c>
      <c r="T36" s="80">
        <v>441</v>
      </c>
      <c r="U36" s="80">
        <v>774</v>
      </c>
      <c r="V36" s="80">
        <v>518</v>
      </c>
      <c r="W36" s="80">
        <v>909</v>
      </c>
      <c r="X36" s="80">
        <v>546</v>
      </c>
      <c r="Y36" s="80">
        <v>957</v>
      </c>
      <c r="Z36" s="80">
        <v>608</v>
      </c>
      <c r="AA36" s="80">
        <v>1068</v>
      </c>
      <c r="AB36" s="80">
        <v>618</v>
      </c>
      <c r="AC36" s="85">
        <v>1085</v>
      </c>
    </row>
    <row r="37" spans="12:29" ht="22.5" x14ac:dyDescent="0.25">
      <c r="L37" s="68" t="s">
        <v>381</v>
      </c>
      <c r="M37" s="69">
        <v>44924</v>
      </c>
      <c r="N37" s="69">
        <v>55674</v>
      </c>
      <c r="O37" s="69">
        <v>55674</v>
      </c>
      <c r="P37" s="69">
        <v>66562</v>
      </c>
      <c r="R37" s="84" t="s">
        <v>439</v>
      </c>
      <c r="S37" s="79">
        <v>1053</v>
      </c>
      <c r="T37" s="80">
        <v>441</v>
      </c>
      <c r="U37" s="80">
        <v>546</v>
      </c>
      <c r="V37" s="80">
        <v>519</v>
      </c>
      <c r="W37" s="80">
        <v>641</v>
      </c>
      <c r="X37" s="80">
        <v>546</v>
      </c>
      <c r="Y37" s="80">
        <v>676</v>
      </c>
      <c r="Z37" s="80">
        <v>609</v>
      </c>
      <c r="AA37" s="80">
        <v>754</v>
      </c>
      <c r="AB37" s="80">
        <v>619</v>
      </c>
      <c r="AC37" s="85">
        <v>766</v>
      </c>
    </row>
    <row r="38" spans="12:29" ht="22.5" x14ac:dyDescent="0.25">
      <c r="L38" s="68" t="s">
        <v>382</v>
      </c>
      <c r="M38" s="69">
        <v>52588</v>
      </c>
      <c r="N38" s="69">
        <v>65830</v>
      </c>
      <c r="O38" s="69">
        <v>82924</v>
      </c>
      <c r="P38" s="69">
        <v>99457</v>
      </c>
      <c r="R38" s="84" t="s">
        <v>440</v>
      </c>
      <c r="S38" s="79">
        <v>1055</v>
      </c>
      <c r="T38" s="80">
        <v>493</v>
      </c>
      <c r="U38" s="80">
        <v>617</v>
      </c>
      <c r="V38" s="80">
        <v>579</v>
      </c>
      <c r="W38" s="80">
        <v>724</v>
      </c>
      <c r="X38" s="80">
        <v>610</v>
      </c>
      <c r="Y38" s="80">
        <v>763</v>
      </c>
      <c r="Z38" s="80">
        <v>680</v>
      </c>
      <c r="AA38" s="80">
        <v>851</v>
      </c>
      <c r="AB38" s="80">
        <v>691</v>
      </c>
      <c r="AC38" s="85">
        <v>865</v>
      </c>
    </row>
    <row r="39" spans="12:29" ht="22.5" x14ac:dyDescent="0.25">
      <c r="L39" s="68" t="s">
        <v>383</v>
      </c>
      <c r="M39" s="69">
        <v>61146</v>
      </c>
      <c r="N39" s="69">
        <v>69697</v>
      </c>
      <c r="O39" s="69">
        <v>85016</v>
      </c>
      <c r="P39" s="69">
        <v>103786</v>
      </c>
      <c r="R39" s="84" t="s">
        <v>441</v>
      </c>
      <c r="S39" s="79">
        <v>1057</v>
      </c>
      <c r="T39" s="80">
        <v>437</v>
      </c>
      <c r="U39" s="80">
        <v>539</v>
      </c>
      <c r="V39" s="80">
        <v>513</v>
      </c>
      <c r="W39" s="80">
        <v>633</v>
      </c>
      <c r="X39" s="80">
        <v>541</v>
      </c>
      <c r="Y39" s="80">
        <v>667</v>
      </c>
      <c r="Z39" s="80">
        <v>603</v>
      </c>
      <c r="AA39" s="80">
        <v>743</v>
      </c>
      <c r="AB39" s="80">
        <v>613</v>
      </c>
      <c r="AC39" s="85">
        <v>755</v>
      </c>
    </row>
    <row r="40" spans="12:29" ht="22.5" x14ac:dyDescent="0.25">
      <c r="L40" s="68" t="s">
        <v>384</v>
      </c>
      <c r="M40" s="69">
        <v>38349</v>
      </c>
      <c r="N40" s="69">
        <v>51965</v>
      </c>
      <c r="O40" s="69">
        <v>51965</v>
      </c>
      <c r="P40" s="69">
        <v>61617</v>
      </c>
      <c r="R40" s="84" t="s">
        <v>442</v>
      </c>
      <c r="S40" s="79">
        <v>1059</v>
      </c>
      <c r="T40" s="80">
        <v>462</v>
      </c>
      <c r="U40" s="80">
        <v>520</v>
      </c>
      <c r="V40" s="80">
        <v>542</v>
      </c>
      <c r="W40" s="80">
        <v>612</v>
      </c>
      <c r="X40" s="80">
        <v>572</v>
      </c>
      <c r="Y40" s="80">
        <v>644</v>
      </c>
      <c r="Z40" s="80">
        <v>637</v>
      </c>
      <c r="AA40" s="80">
        <v>719</v>
      </c>
      <c r="AB40" s="80">
        <v>648</v>
      </c>
      <c r="AC40" s="85">
        <v>730</v>
      </c>
    </row>
    <row r="41" spans="12:29" ht="22.5" x14ac:dyDescent="0.25">
      <c r="L41" s="68" t="s">
        <v>385</v>
      </c>
      <c r="M41" s="69">
        <v>47790</v>
      </c>
      <c r="N41" s="69">
        <v>59308</v>
      </c>
      <c r="O41" s="69">
        <v>69052</v>
      </c>
      <c r="P41" s="69">
        <v>83209</v>
      </c>
      <c r="R41" s="84" t="s">
        <v>443</v>
      </c>
      <c r="S41" s="79">
        <v>1061</v>
      </c>
      <c r="T41" s="80">
        <v>436</v>
      </c>
      <c r="U41" s="80">
        <v>529</v>
      </c>
      <c r="V41" s="80">
        <v>512</v>
      </c>
      <c r="W41" s="80">
        <v>621</v>
      </c>
      <c r="X41" s="80">
        <v>540</v>
      </c>
      <c r="Y41" s="80">
        <v>654</v>
      </c>
      <c r="Z41" s="80">
        <v>602</v>
      </c>
      <c r="AA41" s="80">
        <v>729</v>
      </c>
      <c r="AB41" s="80">
        <v>612</v>
      </c>
      <c r="AC41" s="85">
        <v>741</v>
      </c>
    </row>
    <row r="42" spans="12:29" ht="22.5" x14ac:dyDescent="0.25">
      <c r="L42" s="68" t="s">
        <v>386</v>
      </c>
      <c r="M42" s="69">
        <v>40710</v>
      </c>
      <c r="N42" s="69">
        <v>51812</v>
      </c>
      <c r="O42" s="69">
        <v>56339</v>
      </c>
      <c r="P42" s="69">
        <v>64983</v>
      </c>
      <c r="R42" s="84" t="s">
        <v>444</v>
      </c>
      <c r="S42" s="79">
        <v>1063</v>
      </c>
      <c r="T42" s="80">
        <v>476</v>
      </c>
      <c r="U42" s="80">
        <v>447</v>
      </c>
      <c r="V42" s="80">
        <v>559</v>
      </c>
      <c r="W42" s="80">
        <v>525</v>
      </c>
      <c r="X42" s="80">
        <v>589</v>
      </c>
      <c r="Y42" s="80">
        <v>553</v>
      </c>
      <c r="Z42" s="80">
        <v>657</v>
      </c>
      <c r="AA42" s="80">
        <v>616</v>
      </c>
      <c r="AB42" s="80">
        <v>668</v>
      </c>
      <c r="AC42" s="85">
        <v>626</v>
      </c>
    </row>
    <row r="43" spans="12:29" ht="22.5" x14ac:dyDescent="0.25">
      <c r="L43" s="68" t="s">
        <v>387</v>
      </c>
      <c r="M43" s="69">
        <v>41557</v>
      </c>
      <c r="N43" s="69">
        <v>61492</v>
      </c>
      <c r="O43" s="69">
        <v>68688</v>
      </c>
      <c r="P43" s="69">
        <v>86653</v>
      </c>
      <c r="R43" s="84" t="s">
        <v>445</v>
      </c>
      <c r="S43" s="79">
        <v>1065</v>
      </c>
      <c r="T43" s="80">
        <v>488</v>
      </c>
      <c r="U43" s="80">
        <v>458</v>
      </c>
      <c r="V43" s="80">
        <v>573</v>
      </c>
      <c r="W43" s="80">
        <v>538</v>
      </c>
      <c r="X43" s="80">
        <v>604</v>
      </c>
      <c r="Y43" s="80">
        <v>567</v>
      </c>
      <c r="Z43" s="80">
        <v>674</v>
      </c>
      <c r="AA43" s="80">
        <v>632</v>
      </c>
      <c r="AB43" s="80">
        <v>685</v>
      </c>
      <c r="AC43" s="85">
        <v>642</v>
      </c>
    </row>
    <row r="44" spans="12:29" ht="22.5" x14ac:dyDescent="0.25">
      <c r="L44" s="68" t="s">
        <v>388</v>
      </c>
      <c r="M44" s="69">
        <v>42814</v>
      </c>
      <c r="N44" s="69">
        <v>53218</v>
      </c>
      <c r="O44" s="69">
        <v>60960</v>
      </c>
      <c r="P44" s="69">
        <v>74270</v>
      </c>
      <c r="R44" s="84" t="s">
        <v>446</v>
      </c>
      <c r="S44" s="79">
        <v>1067</v>
      </c>
      <c r="T44" s="80">
        <v>429</v>
      </c>
      <c r="U44" s="80">
        <v>626</v>
      </c>
      <c r="V44" s="80">
        <v>504</v>
      </c>
      <c r="W44" s="80">
        <v>735</v>
      </c>
      <c r="X44" s="80">
        <v>532</v>
      </c>
      <c r="Y44" s="80">
        <v>774</v>
      </c>
      <c r="Z44" s="80">
        <v>593</v>
      </c>
      <c r="AA44" s="80">
        <v>863</v>
      </c>
      <c r="AB44" s="80">
        <v>602</v>
      </c>
      <c r="AC44" s="85">
        <v>878</v>
      </c>
    </row>
    <row r="45" spans="12:29" ht="22.5" x14ac:dyDescent="0.25">
      <c r="L45" s="68" t="s">
        <v>389</v>
      </c>
      <c r="M45" s="69">
        <v>40665</v>
      </c>
      <c r="N45" s="69">
        <v>51575</v>
      </c>
      <c r="O45" s="69">
        <v>53500</v>
      </c>
      <c r="P45" s="69">
        <v>64374</v>
      </c>
      <c r="R45" s="84" t="s">
        <v>447</v>
      </c>
      <c r="S45" s="79">
        <v>1069</v>
      </c>
      <c r="T45" s="80">
        <v>414</v>
      </c>
      <c r="U45" s="80">
        <v>679</v>
      </c>
      <c r="V45" s="80">
        <v>487</v>
      </c>
      <c r="W45" s="80">
        <v>797</v>
      </c>
      <c r="X45" s="80">
        <v>513</v>
      </c>
      <c r="Y45" s="80">
        <v>840</v>
      </c>
      <c r="Z45" s="80">
        <v>572</v>
      </c>
      <c r="AA45" s="80">
        <v>936</v>
      </c>
      <c r="AB45" s="80">
        <v>581</v>
      </c>
      <c r="AC45" s="85">
        <v>952</v>
      </c>
    </row>
    <row r="46" spans="12:29" ht="22.5" x14ac:dyDescent="0.25">
      <c r="L46" s="68" t="s">
        <v>390</v>
      </c>
      <c r="M46" s="69">
        <v>43160</v>
      </c>
      <c r="N46" s="69">
        <v>55057</v>
      </c>
      <c r="O46" s="69">
        <v>62202</v>
      </c>
      <c r="P46" s="69">
        <v>67315</v>
      </c>
      <c r="R46" s="84" t="s">
        <v>448</v>
      </c>
      <c r="S46" s="79">
        <v>1071</v>
      </c>
      <c r="T46" s="80">
        <v>433</v>
      </c>
      <c r="U46" s="80">
        <v>533</v>
      </c>
      <c r="V46" s="80">
        <v>508</v>
      </c>
      <c r="W46" s="80">
        <v>627</v>
      </c>
      <c r="X46" s="80">
        <v>536</v>
      </c>
      <c r="Y46" s="80">
        <v>660</v>
      </c>
      <c r="Z46" s="80">
        <v>598</v>
      </c>
      <c r="AA46" s="80">
        <v>736</v>
      </c>
      <c r="AB46" s="80">
        <v>607</v>
      </c>
      <c r="AC46" s="85">
        <v>748</v>
      </c>
    </row>
    <row r="47" spans="12:29" ht="22.5" x14ac:dyDescent="0.25">
      <c r="L47" s="68" t="s">
        <v>391</v>
      </c>
      <c r="M47" s="69">
        <v>47439</v>
      </c>
      <c r="N47" s="69">
        <v>55210</v>
      </c>
      <c r="O47" s="69">
        <v>68848</v>
      </c>
      <c r="P47" s="69">
        <v>82078</v>
      </c>
      <c r="R47" s="84" t="s">
        <v>449</v>
      </c>
      <c r="S47" s="79">
        <v>1073</v>
      </c>
      <c r="T47" s="80">
        <v>491</v>
      </c>
      <c r="U47" s="80">
        <v>801</v>
      </c>
      <c r="V47" s="80">
        <v>576</v>
      </c>
      <c r="W47" s="80">
        <v>941</v>
      </c>
      <c r="X47" s="80">
        <v>608</v>
      </c>
      <c r="Y47" s="80">
        <v>991</v>
      </c>
      <c r="Z47" s="80">
        <v>677</v>
      </c>
      <c r="AA47" s="80">
        <v>1105</v>
      </c>
      <c r="AB47" s="80">
        <v>688</v>
      </c>
      <c r="AC47" s="85">
        <v>1123</v>
      </c>
    </row>
    <row r="48" spans="12:29" ht="22.5" x14ac:dyDescent="0.25">
      <c r="L48" s="68" t="s">
        <v>392</v>
      </c>
      <c r="M48" s="69">
        <v>46896</v>
      </c>
      <c r="N48" s="69">
        <v>61607</v>
      </c>
      <c r="O48" s="69">
        <v>76864</v>
      </c>
      <c r="P48" s="69">
        <v>83785</v>
      </c>
      <c r="R48" s="84" t="s">
        <v>450</v>
      </c>
      <c r="S48" s="79">
        <v>1075</v>
      </c>
      <c r="T48" s="80">
        <v>464</v>
      </c>
      <c r="U48" s="80">
        <v>404</v>
      </c>
      <c r="V48" s="80">
        <v>545</v>
      </c>
      <c r="W48" s="80">
        <v>474</v>
      </c>
      <c r="X48" s="80">
        <v>575</v>
      </c>
      <c r="Y48" s="80">
        <v>499</v>
      </c>
      <c r="Z48" s="80">
        <v>641</v>
      </c>
      <c r="AA48" s="80">
        <v>557</v>
      </c>
      <c r="AB48" s="80">
        <v>651</v>
      </c>
      <c r="AC48" s="85">
        <v>566</v>
      </c>
    </row>
    <row r="49" spans="12:29" ht="22.5" x14ac:dyDescent="0.25">
      <c r="L49" s="68" t="s">
        <v>393</v>
      </c>
      <c r="M49" s="69">
        <v>39238</v>
      </c>
      <c r="N49" s="69">
        <v>50548</v>
      </c>
      <c r="O49" s="69">
        <v>53532</v>
      </c>
      <c r="P49" s="69">
        <v>61388</v>
      </c>
      <c r="R49" s="84" t="s">
        <v>451</v>
      </c>
      <c r="S49" s="79">
        <v>1077</v>
      </c>
      <c r="T49" s="80">
        <v>420</v>
      </c>
      <c r="U49" s="80">
        <v>620</v>
      </c>
      <c r="V49" s="80">
        <v>494</v>
      </c>
      <c r="W49" s="80">
        <v>728</v>
      </c>
      <c r="X49" s="80">
        <v>520</v>
      </c>
      <c r="Y49" s="80">
        <v>767</v>
      </c>
      <c r="Z49" s="80">
        <v>580</v>
      </c>
      <c r="AA49" s="80">
        <v>855</v>
      </c>
      <c r="AB49" s="80">
        <v>589</v>
      </c>
      <c r="AC49" s="85">
        <v>870</v>
      </c>
    </row>
    <row r="50" spans="12:29" ht="22.5" x14ac:dyDescent="0.25">
      <c r="L50" s="68" t="s">
        <v>394</v>
      </c>
      <c r="M50" s="69">
        <v>38071</v>
      </c>
      <c r="N50" s="69">
        <v>57188</v>
      </c>
      <c r="O50" s="69">
        <v>65829</v>
      </c>
      <c r="P50" s="69">
        <v>73960</v>
      </c>
      <c r="R50" s="84" t="s">
        <v>452</v>
      </c>
      <c r="S50" s="79">
        <v>1079</v>
      </c>
      <c r="T50" s="80">
        <v>470</v>
      </c>
      <c r="U50" s="80">
        <v>562</v>
      </c>
      <c r="V50" s="80">
        <v>551</v>
      </c>
      <c r="W50" s="80">
        <v>661</v>
      </c>
      <c r="X50" s="80">
        <v>581</v>
      </c>
      <c r="Y50" s="80">
        <v>696</v>
      </c>
      <c r="Z50" s="80">
        <v>648</v>
      </c>
      <c r="AA50" s="80">
        <v>776</v>
      </c>
      <c r="AB50" s="80">
        <v>658</v>
      </c>
      <c r="AC50" s="85">
        <v>789</v>
      </c>
    </row>
    <row r="51" spans="12:29" x14ac:dyDescent="0.25">
      <c r="L51" s="68" t="s">
        <v>395</v>
      </c>
      <c r="M51" s="69">
        <v>39891</v>
      </c>
      <c r="N51" s="69">
        <v>48617</v>
      </c>
      <c r="O51" s="69">
        <v>55080</v>
      </c>
      <c r="P51" s="69">
        <v>65038</v>
      </c>
      <c r="R51" s="84" t="s">
        <v>453</v>
      </c>
      <c r="S51" s="79">
        <v>1081</v>
      </c>
      <c r="T51" s="80">
        <v>420</v>
      </c>
      <c r="U51" s="80">
        <v>796</v>
      </c>
      <c r="V51" s="80">
        <v>493</v>
      </c>
      <c r="W51" s="80">
        <v>935</v>
      </c>
      <c r="X51" s="80">
        <v>519</v>
      </c>
      <c r="Y51" s="80">
        <v>986</v>
      </c>
      <c r="Z51" s="80">
        <v>579</v>
      </c>
      <c r="AA51" s="80">
        <v>1099</v>
      </c>
      <c r="AB51" s="80">
        <v>588</v>
      </c>
      <c r="AC51" s="85">
        <v>1117</v>
      </c>
    </row>
    <row r="52" spans="12:29" ht="22.5" x14ac:dyDescent="0.25">
      <c r="L52" s="68" t="s">
        <v>396</v>
      </c>
      <c r="M52" s="69">
        <v>41225</v>
      </c>
      <c r="N52" s="69">
        <v>55895</v>
      </c>
      <c r="O52" s="69">
        <v>60503</v>
      </c>
      <c r="P52" s="69">
        <v>67296</v>
      </c>
      <c r="R52" s="84" t="s">
        <v>454</v>
      </c>
      <c r="S52" s="79">
        <v>1083</v>
      </c>
      <c r="T52" s="80">
        <v>436</v>
      </c>
      <c r="U52" s="80">
        <v>712</v>
      </c>
      <c r="V52" s="80">
        <v>513</v>
      </c>
      <c r="W52" s="80">
        <v>836</v>
      </c>
      <c r="X52" s="80">
        <v>540</v>
      </c>
      <c r="Y52" s="80">
        <v>881</v>
      </c>
      <c r="Z52" s="80">
        <v>602</v>
      </c>
      <c r="AA52" s="80">
        <v>983</v>
      </c>
      <c r="AB52" s="80">
        <v>612</v>
      </c>
      <c r="AC52" s="85">
        <v>998</v>
      </c>
    </row>
    <row r="53" spans="12:29" ht="22.5" x14ac:dyDescent="0.25">
      <c r="L53" s="68" t="s">
        <v>397</v>
      </c>
      <c r="M53" s="69">
        <v>50976</v>
      </c>
      <c r="N53" s="69">
        <v>56089</v>
      </c>
      <c r="O53" s="69">
        <v>63430</v>
      </c>
      <c r="P53" s="69">
        <v>66590</v>
      </c>
      <c r="R53" s="84" t="s">
        <v>455</v>
      </c>
      <c r="S53" s="79">
        <v>1085</v>
      </c>
      <c r="T53" s="80">
        <v>557</v>
      </c>
      <c r="U53" s="80">
        <v>453</v>
      </c>
      <c r="V53" s="80">
        <v>653</v>
      </c>
      <c r="W53" s="80">
        <v>533</v>
      </c>
      <c r="X53" s="80">
        <v>689</v>
      </c>
      <c r="Y53" s="80">
        <v>561</v>
      </c>
      <c r="Z53" s="80">
        <v>768</v>
      </c>
      <c r="AA53" s="80">
        <v>626</v>
      </c>
      <c r="AB53" s="80">
        <v>780</v>
      </c>
      <c r="AC53" s="85">
        <v>636</v>
      </c>
    </row>
    <row r="54" spans="12:29" ht="22.5" x14ac:dyDescent="0.25">
      <c r="L54" s="68" t="s">
        <v>398</v>
      </c>
      <c r="M54" s="69">
        <v>46019</v>
      </c>
      <c r="N54" s="69">
        <v>61702</v>
      </c>
      <c r="O54" s="69">
        <v>67774</v>
      </c>
      <c r="P54" s="69">
        <v>85750</v>
      </c>
      <c r="R54" s="84" t="s">
        <v>456</v>
      </c>
      <c r="S54" s="79">
        <v>1087</v>
      </c>
      <c r="T54" s="80">
        <v>491</v>
      </c>
      <c r="U54" s="80">
        <v>536</v>
      </c>
      <c r="V54" s="80">
        <v>576</v>
      </c>
      <c r="W54" s="80">
        <v>630</v>
      </c>
      <c r="X54" s="80">
        <v>608</v>
      </c>
      <c r="Y54" s="80">
        <v>663</v>
      </c>
      <c r="Z54" s="80">
        <v>677</v>
      </c>
      <c r="AA54" s="80">
        <v>740</v>
      </c>
      <c r="AB54" s="80">
        <v>688</v>
      </c>
      <c r="AC54" s="85">
        <v>752</v>
      </c>
    </row>
    <row r="55" spans="12:29" ht="22.5" x14ac:dyDescent="0.25">
      <c r="L55" s="68" t="s">
        <v>399</v>
      </c>
      <c r="M55" s="69">
        <v>53328</v>
      </c>
      <c r="N55" s="69">
        <v>65930</v>
      </c>
      <c r="O55" s="69">
        <v>77585</v>
      </c>
      <c r="P55" s="69">
        <v>91661</v>
      </c>
      <c r="R55" s="84" t="s">
        <v>457</v>
      </c>
      <c r="S55" s="79">
        <v>1089</v>
      </c>
      <c r="T55" s="80">
        <v>413</v>
      </c>
      <c r="U55" s="80">
        <v>823</v>
      </c>
      <c r="V55" s="80">
        <v>485</v>
      </c>
      <c r="W55" s="80">
        <v>966</v>
      </c>
      <c r="X55" s="80">
        <v>511</v>
      </c>
      <c r="Y55" s="80">
        <v>1018</v>
      </c>
      <c r="Z55" s="80">
        <v>569</v>
      </c>
      <c r="AA55" s="80">
        <v>1136</v>
      </c>
      <c r="AB55" s="80">
        <v>578</v>
      </c>
      <c r="AC55" s="85">
        <v>1154</v>
      </c>
    </row>
    <row r="56" spans="12:29" ht="22.5" x14ac:dyDescent="0.25">
      <c r="L56" s="68" t="s">
        <v>400</v>
      </c>
      <c r="M56" s="69">
        <v>52724</v>
      </c>
      <c r="N56" s="69">
        <v>65123</v>
      </c>
      <c r="O56" s="69">
        <v>71289</v>
      </c>
      <c r="P56" s="69">
        <v>83270</v>
      </c>
      <c r="R56" s="84" t="s">
        <v>458</v>
      </c>
      <c r="S56" s="79">
        <v>1091</v>
      </c>
      <c r="T56" s="80">
        <v>504</v>
      </c>
      <c r="U56" s="80">
        <v>488</v>
      </c>
      <c r="V56" s="80">
        <v>592</v>
      </c>
      <c r="W56" s="80">
        <v>573</v>
      </c>
      <c r="X56" s="80">
        <v>623</v>
      </c>
      <c r="Y56" s="80">
        <v>604</v>
      </c>
      <c r="Z56" s="80">
        <v>695</v>
      </c>
      <c r="AA56" s="80">
        <v>673</v>
      </c>
      <c r="AB56" s="80">
        <v>706</v>
      </c>
      <c r="AC56" s="85">
        <v>684</v>
      </c>
    </row>
    <row r="57" spans="12:29" ht="22.5" x14ac:dyDescent="0.25">
      <c r="L57" s="68" t="s">
        <v>401</v>
      </c>
      <c r="M57" s="69">
        <v>41499</v>
      </c>
      <c r="N57" s="69">
        <v>44536</v>
      </c>
      <c r="O57" s="69">
        <v>54790</v>
      </c>
      <c r="P57" s="69">
        <v>66756</v>
      </c>
      <c r="R57" s="84" t="s">
        <v>459</v>
      </c>
      <c r="S57" s="79">
        <v>1093</v>
      </c>
      <c r="T57" s="80">
        <v>432</v>
      </c>
      <c r="U57" s="80">
        <v>479</v>
      </c>
      <c r="V57" s="80">
        <v>507</v>
      </c>
      <c r="W57" s="80">
        <v>563</v>
      </c>
      <c r="X57" s="80">
        <v>535</v>
      </c>
      <c r="Y57" s="80">
        <v>593</v>
      </c>
      <c r="Z57" s="80">
        <v>596</v>
      </c>
      <c r="AA57" s="80">
        <v>661</v>
      </c>
      <c r="AB57" s="80">
        <v>606</v>
      </c>
      <c r="AC57" s="85">
        <v>672</v>
      </c>
    </row>
    <row r="58" spans="12:29" ht="22.5" x14ac:dyDescent="0.25">
      <c r="L58" s="68" t="s">
        <v>402</v>
      </c>
      <c r="M58" s="69">
        <v>43661</v>
      </c>
      <c r="N58" s="69">
        <v>58668</v>
      </c>
      <c r="O58" s="69">
        <v>65775</v>
      </c>
      <c r="P58" s="69">
        <v>81296</v>
      </c>
      <c r="R58" s="84" t="s">
        <v>460</v>
      </c>
      <c r="S58" s="79">
        <v>1095</v>
      </c>
      <c r="T58" s="80">
        <v>434</v>
      </c>
      <c r="U58" s="80">
        <v>584</v>
      </c>
      <c r="V58" s="80">
        <v>509</v>
      </c>
      <c r="W58" s="80">
        <v>687</v>
      </c>
      <c r="X58" s="80">
        <v>537</v>
      </c>
      <c r="Y58" s="80">
        <v>723</v>
      </c>
      <c r="Z58" s="80">
        <v>599</v>
      </c>
      <c r="AA58" s="80">
        <v>806</v>
      </c>
      <c r="AB58" s="80">
        <v>608</v>
      </c>
      <c r="AC58" s="85">
        <v>820</v>
      </c>
    </row>
    <row r="59" spans="12:29" ht="22.5" x14ac:dyDescent="0.25">
      <c r="L59" s="68" t="s">
        <v>403</v>
      </c>
      <c r="M59" s="69">
        <v>45336</v>
      </c>
      <c r="N59" s="69">
        <v>63193</v>
      </c>
      <c r="O59" s="69">
        <v>73688</v>
      </c>
      <c r="P59" s="69">
        <v>78733</v>
      </c>
      <c r="R59" s="84" t="s">
        <v>461</v>
      </c>
      <c r="S59" s="79">
        <v>1097</v>
      </c>
      <c r="T59" s="80">
        <v>451</v>
      </c>
      <c r="U59" s="80">
        <v>744</v>
      </c>
      <c r="V59" s="80">
        <v>529</v>
      </c>
      <c r="W59" s="80">
        <v>875</v>
      </c>
      <c r="X59" s="80">
        <v>558</v>
      </c>
      <c r="Y59" s="80">
        <v>921</v>
      </c>
      <c r="Z59" s="80">
        <v>622</v>
      </c>
      <c r="AA59" s="80">
        <v>1027</v>
      </c>
      <c r="AB59" s="80">
        <v>632</v>
      </c>
      <c r="AC59" s="85">
        <v>1044</v>
      </c>
    </row>
    <row r="60" spans="12:29" ht="22.5" x14ac:dyDescent="0.25">
      <c r="L60" s="63"/>
      <c r="M60" s="70"/>
      <c r="N60" s="70"/>
      <c r="O60" s="70"/>
      <c r="P60" s="70"/>
      <c r="R60" s="84" t="s">
        <v>462</v>
      </c>
      <c r="S60" s="79">
        <v>1099</v>
      </c>
      <c r="T60" s="80">
        <v>475</v>
      </c>
      <c r="U60" s="80">
        <v>506</v>
      </c>
      <c r="V60" s="80">
        <v>558</v>
      </c>
      <c r="W60" s="80">
        <v>594</v>
      </c>
      <c r="X60" s="80">
        <v>588</v>
      </c>
      <c r="Y60" s="80">
        <v>626</v>
      </c>
      <c r="Z60" s="80">
        <v>655</v>
      </c>
      <c r="AA60" s="80">
        <v>698</v>
      </c>
      <c r="AB60" s="80">
        <v>665</v>
      </c>
      <c r="AC60" s="85">
        <v>710</v>
      </c>
    </row>
    <row r="61" spans="12:29" ht="22.5" x14ac:dyDescent="0.25">
      <c r="L61" s="203" t="s">
        <v>404</v>
      </c>
      <c r="M61" s="204"/>
      <c r="N61" s="204"/>
      <c r="O61" s="204"/>
      <c r="P61" s="204"/>
      <c r="R61" s="84" t="s">
        <v>463</v>
      </c>
      <c r="S61" s="79">
        <v>1101</v>
      </c>
      <c r="T61" s="80">
        <v>474</v>
      </c>
      <c r="U61" s="80">
        <v>720</v>
      </c>
      <c r="V61" s="80">
        <v>557</v>
      </c>
      <c r="W61" s="80">
        <v>845</v>
      </c>
      <c r="X61" s="80">
        <v>586</v>
      </c>
      <c r="Y61" s="80">
        <v>891</v>
      </c>
      <c r="Z61" s="80">
        <v>654</v>
      </c>
      <c r="AA61" s="80">
        <v>993</v>
      </c>
      <c r="AB61" s="80">
        <v>665</v>
      </c>
      <c r="AC61" s="85">
        <v>1009</v>
      </c>
    </row>
    <row r="62" spans="12:29" ht="22.5" x14ac:dyDescent="0.25">
      <c r="L62" s="71" t="s">
        <v>405</v>
      </c>
      <c r="M62" s="70"/>
      <c r="N62" s="70"/>
      <c r="O62" s="70"/>
      <c r="P62" s="70"/>
      <c r="R62" s="84" t="s">
        <v>464</v>
      </c>
      <c r="S62" s="79">
        <v>1103</v>
      </c>
      <c r="T62" s="80">
        <v>435</v>
      </c>
      <c r="U62" s="80">
        <v>666</v>
      </c>
      <c r="V62" s="80">
        <v>511</v>
      </c>
      <c r="W62" s="80">
        <v>782</v>
      </c>
      <c r="X62" s="80">
        <v>538</v>
      </c>
      <c r="Y62" s="80">
        <v>824</v>
      </c>
      <c r="Z62" s="80">
        <v>600</v>
      </c>
      <c r="AA62" s="80">
        <v>919</v>
      </c>
      <c r="AB62" s="80">
        <v>609</v>
      </c>
      <c r="AC62" s="85">
        <v>934</v>
      </c>
    </row>
    <row r="63" spans="12:29" ht="22.5" x14ac:dyDescent="0.25">
      <c r="R63" s="84" t="s">
        <v>465</v>
      </c>
      <c r="S63" s="79">
        <v>1105</v>
      </c>
      <c r="T63" s="80">
        <v>539</v>
      </c>
      <c r="U63" s="80">
        <v>549</v>
      </c>
      <c r="V63" s="80">
        <v>633</v>
      </c>
      <c r="W63" s="80">
        <v>645</v>
      </c>
      <c r="X63" s="80">
        <v>667</v>
      </c>
      <c r="Y63" s="80">
        <v>680</v>
      </c>
      <c r="Z63" s="80">
        <v>743</v>
      </c>
      <c r="AA63" s="80">
        <v>758</v>
      </c>
      <c r="AB63" s="80">
        <v>755</v>
      </c>
      <c r="AC63" s="85">
        <v>771</v>
      </c>
    </row>
    <row r="64" spans="12:29" ht="22.5" x14ac:dyDescent="0.25">
      <c r="R64" s="84" t="s">
        <v>466</v>
      </c>
      <c r="S64" s="79">
        <v>1107</v>
      </c>
      <c r="T64" s="80">
        <v>484</v>
      </c>
      <c r="U64" s="80">
        <v>486</v>
      </c>
      <c r="V64" s="80">
        <v>568</v>
      </c>
      <c r="W64" s="80">
        <v>571</v>
      </c>
      <c r="X64" s="80">
        <v>599</v>
      </c>
      <c r="Y64" s="80">
        <v>601</v>
      </c>
      <c r="Z64" s="80">
        <v>668</v>
      </c>
      <c r="AA64" s="80">
        <v>670</v>
      </c>
      <c r="AB64" s="80">
        <v>679</v>
      </c>
      <c r="AC64" s="85">
        <v>681</v>
      </c>
    </row>
    <row r="65" spans="18:29" x14ac:dyDescent="0.25">
      <c r="R65" s="84" t="s">
        <v>467</v>
      </c>
      <c r="S65" s="79">
        <v>1109</v>
      </c>
      <c r="T65" s="80">
        <v>466</v>
      </c>
      <c r="U65" s="80">
        <v>615</v>
      </c>
      <c r="V65" s="80">
        <v>547</v>
      </c>
      <c r="W65" s="80">
        <v>723</v>
      </c>
      <c r="X65" s="80">
        <v>577</v>
      </c>
      <c r="Y65" s="80">
        <v>761</v>
      </c>
      <c r="Z65" s="80">
        <v>643</v>
      </c>
      <c r="AA65" s="80">
        <v>849</v>
      </c>
      <c r="AB65" s="80">
        <v>653</v>
      </c>
      <c r="AC65" s="85">
        <v>863</v>
      </c>
    </row>
    <row r="66" spans="18:29" ht="22.5" x14ac:dyDescent="0.25">
      <c r="R66" s="84" t="s">
        <v>468</v>
      </c>
      <c r="S66" s="79">
        <v>1111</v>
      </c>
      <c r="T66" s="80">
        <v>454</v>
      </c>
      <c r="U66" s="80">
        <v>566</v>
      </c>
      <c r="V66" s="80">
        <v>533</v>
      </c>
      <c r="W66" s="80">
        <v>665</v>
      </c>
      <c r="X66" s="80">
        <v>562</v>
      </c>
      <c r="Y66" s="80">
        <v>701</v>
      </c>
      <c r="Z66" s="80">
        <v>627</v>
      </c>
      <c r="AA66" s="80">
        <v>781</v>
      </c>
      <c r="AB66" s="80">
        <v>636</v>
      </c>
      <c r="AC66" s="85">
        <v>794</v>
      </c>
    </row>
    <row r="67" spans="18:29" ht="22.5" x14ac:dyDescent="0.25">
      <c r="R67" s="84" t="s">
        <v>469</v>
      </c>
      <c r="S67" s="79">
        <v>1113</v>
      </c>
      <c r="T67" s="80">
        <v>425</v>
      </c>
      <c r="U67" s="80">
        <v>616</v>
      </c>
      <c r="V67" s="80">
        <v>499</v>
      </c>
      <c r="W67" s="80">
        <v>724</v>
      </c>
      <c r="X67" s="80">
        <v>526</v>
      </c>
      <c r="Y67" s="80">
        <v>762</v>
      </c>
      <c r="Z67" s="80">
        <v>586</v>
      </c>
      <c r="AA67" s="80">
        <v>851</v>
      </c>
      <c r="AB67" s="80">
        <v>596</v>
      </c>
      <c r="AC67" s="85">
        <v>864</v>
      </c>
    </row>
    <row r="68" spans="18:29" ht="22.5" x14ac:dyDescent="0.25">
      <c r="R68" s="84" t="s">
        <v>470</v>
      </c>
      <c r="S68" s="79">
        <v>1115</v>
      </c>
      <c r="T68" s="80">
        <v>465</v>
      </c>
      <c r="U68" s="80">
        <v>703</v>
      </c>
      <c r="V68" s="80">
        <v>546</v>
      </c>
      <c r="W68" s="80">
        <v>826</v>
      </c>
      <c r="X68" s="80">
        <v>576</v>
      </c>
      <c r="Y68" s="80">
        <v>870</v>
      </c>
      <c r="Z68" s="80">
        <v>642</v>
      </c>
      <c r="AA68" s="80">
        <v>970</v>
      </c>
      <c r="AB68" s="80">
        <v>652</v>
      </c>
      <c r="AC68" s="85">
        <v>986</v>
      </c>
    </row>
    <row r="69" spans="18:29" ht="22.5" x14ac:dyDescent="0.25">
      <c r="R69" s="84" t="s">
        <v>471</v>
      </c>
      <c r="S69" s="79">
        <v>1117</v>
      </c>
      <c r="T69" s="80">
        <v>456</v>
      </c>
      <c r="U69" s="80">
        <v>1011</v>
      </c>
      <c r="V69" s="80">
        <v>536</v>
      </c>
      <c r="W69" s="80">
        <v>1187</v>
      </c>
      <c r="X69" s="80">
        <v>564</v>
      </c>
      <c r="Y69" s="80">
        <v>1251</v>
      </c>
      <c r="Z69" s="80">
        <v>629</v>
      </c>
      <c r="AA69" s="80">
        <v>1395</v>
      </c>
      <c r="AB69" s="80">
        <v>640</v>
      </c>
      <c r="AC69" s="85">
        <v>1417</v>
      </c>
    </row>
    <row r="70" spans="18:29" ht="22.5" x14ac:dyDescent="0.25">
      <c r="R70" s="84" t="s">
        <v>472</v>
      </c>
      <c r="S70" s="79">
        <v>1119</v>
      </c>
      <c r="T70" s="80">
        <v>535</v>
      </c>
      <c r="U70" s="80">
        <v>469</v>
      </c>
      <c r="V70" s="80">
        <v>628</v>
      </c>
      <c r="W70" s="80">
        <v>551</v>
      </c>
      <c r="X70" s="80">
        <v>663</v>
      </c>
      <c r="Y70" s="80">
        <v>580</v>
      </c>
      <c r="Z70" s="80">
        <v>739</v>
      </c>
      <c r="AA70" s="80">
        <v>647</v>
      </c>
      <c r="AB70" s="80">
        <v>750</v>
      </c>
      <c r="AC70" s="85">
        <v>658</v>
      </c>
    </row>
    <row r="71" spans="18:29" ht="22.5" x14ac:dyDescent="0.25">
      <c r="R71" s="84" t="s">
        <v>473</v>
      </c>
      <c r="S71" s="79">
        <v>1121</v>
      </c>
      <c r="T71" s="80">
        <v>504</v>
      </c>
      <c r="U71" s="80">
        <v>564</v>
      </c>
      <c r="V71" s="80">
        <v>592</v>
      </c>
      <c r="W71" s="80">
        <v>662</v>
      </c>
      <c r="X71" s="80">
        <v>624</v>
      </c>
      <c r="Y71" s="80">
        <v>698</v>
      </c>
      <c r="Z71" s="80">
        <v>696</v>
      </c>
      <c r="AA71" s="80">
        <v>778</v>
      </c>
      <c r="AB71" s="80">
        <v>707</v>
      </c>
      <c r="AC71" s="85">
        <v>790</v>
      </c>
    </row>
    <row r="72" spans="18:29" ht="22.5" x14ac:dyDescent="0.25">
      <c r="R72" s="84" t="s">
        <v>474</v>
      </c>
      <c r="S72" s="79">
        <v>1123</v>
      </c>
      <c r="T72" s="80">
        <v>467</v>
      </c>
      <c r="U72" s="80">
        <v>569</v>
      </c>
      <c r="V72" s="80">
        <v>549</v>
      </c>
      <c r="W72" s="80">
        <v>668</v>
      </c>
      <c r="X72" s="80">
        <v>578</v>
      </c>
      <c r="Y72" s="80">
        <v>704</v>
      </c>
      <c r="Z72" s="80">
        <v>645</v>
      </c>
      <c r="AA72" s="80">
        <v>785</v>
      </c>
      <c r="AB72" s="80">
        <v>655</v>
      </c>
      <c r="AC72" s="85">
        <v>798</v>
      </c>
    </row>
    <row r="73" spans="18:29" ht="22.5" x14ac:dyDescent="0.25">
      <c r="R73" s="84" t="s">
        <v>475</v>
      </c>
      <c r="S73" s="79">
        <v>1125</v>
      </c>
      <c r="T73" s="80">
        <v>440</v>
      </c>
      <c r="U73" s="80">
        <v>782</v>
      </c>
      <c r="V73" s="80">
        <v>517</v>
      </c>
      <c r="W73" s="80">
        <v>918</v>
      </c>
      <c r="X73" s="80">
        <v>544</v>
      </c>
      <c r="Y73" s="80">
        <v>968</v>
      </c>
      <c r="Z73" s="80">
        <v>607</v>
      </c>
      <c r="AA73" s="80">
        <v>1079</v>
      </c>
      <c r="AB73" s="80">
        <v>617</v>
      </c>
      <c r="AC73" s="85">
        <v>1097</v>
      </c>
    </row>
    <row r="74" spans="18:29" ht="22.5" x14ac:dyDescent="0.25">
      <c r="R74" s="84" t="s">
        <v>476</v>
      </c>
      <c r="S74" s="79">
        <v>1127</v>
      </c>
      <c r="T74" s="80">
        <v>455</v>
      </c>
      <c r="U74" s="80">
        <v>532</v>
      </c>
      <c r="V74" s="80">
        <v>534</v>
      </c>
      <c r="W74" s="80">
        <v>625</v>
      </c>
      <c r="X74" s="80">
        <v>563</v>
      </c>
      <c r="Y74" s="80">
        <v>658</v>
      </c>
      <c r="Z74" s="80">
        <v>627</v>
      </c>
      <c r="AA74" s="80">
        <v>734</v>
      </c>
      <c r="AB74" s="80">
        <v>638</v>
      </c>
      <c r="AC74" s="85">
        <v>745</v>
      </c>
    </row>
    <row r="75" spans="18:29" ht="22.5" x14ac:dyDescent="0.25">
      <c r="R75" s="84" t="s">
        <v>477</v>
      </c>
      <c r="S75" s="79">
        <v>1129</v>
      </c>
      <c r="T75" s="80">
        <v>514</v>
      </c>
      <c r="U75" s="80">
        <v>579</v>
      </c>
      <c r="V75" s="80">
        <v>603</v>
      </c>
      <c r="W75" s="80">
        <v>681</v>
      </c>
      <c r="X75" s="80">
        <v>636</v>
      </c>
      <c r="Y75" s="80">
        <v>717</v>
      </c>
      <c r="Z75" s="80">
        <v>709</v>
      </c>
      <c r="AA75" s="80">
        <v>799</v>
      </c>
      <c r="AB75" s="80">
        <v>721</v>
      </c>
      <c r="AC75" s="85">
        <v>812</v>
      </c>
    </row>
    <row r="76" spans="18:29" ht="22.5" x14ac:dyDescent="0.25">
      <c r="R76" s="84" t="s">
        <v>478</v>
      </c>
      <c r="S76" s="79">
        <v>1131</v>
      </c>
      <c r="T76" s="80">
        <v>538</v>
      </c>
      <c r="U76" s="80">
        <v>449</v>
      </c>
      <c r="V76" s="80">
        <v>632</v>
      </c>
      <c r="W76" s="80">
        <v>527</v>
      </c>
      <c r="X76" s="80">
        <v>665</v>
      </c>
      <c r="Y76" s="80">
        <v>556</v>
      </c>
      <c r="Z76" s="80">
        <v>742</v>
      </c>
      <c r="AA76" s="80">
        <v>619</v>
      </c>
      <c r="AB76" s="80">
        <v>754</v>
      </c>
      <c r="AC76" s="85">
        <v>629</v>
      </c>
    </row>
    <row r="77" spans="18:29" ht="23.25" thickBot="1" x14ac:dyDescent="0.3">
      <c r="R77" s="86" t="s">
        <v>479</v>
      </c>
      <c r="S77" s="87">
        <v>1133</v>
      </c>
      <c r="T77" s="88">
        <v>478</v>
      </c>
      <c r="U77" s="88">
        <v>496</v>
      </c>
      <c r="V77" s="88">
        <v>562</v>
      </c>
      <c r="W77" s="88">
        <v>582</v>
      </c>
      <c r="X77" s="88">
        <v>592</v>
      </c>
      <c r="Y77" s="88">
        <v>613</v>
      </c>
      <c r="Z77" s="88">
        <v>660</v>
      </c>
      <c r="AA77" s="88">
        <v>684</v>
      </c>
      <c r="AB77" s="88">
        <v>671</v>
      </c>
      <c r="AC77" s="89">
        <v>695</v>
      </c>
    </row>
    <row r="78" spans="18:29" ht="15.75" thickTop="1" x14ac:dyDescent="0.25"/>
    <row r="88" spans="1:33" x14ac:dyDescent="0.25">
      <c r="A88" t="s">
        <v>14</v>
      </c>
      <c r="B88" t="s">
        <v>412</v>
      </c>
      <c r="C88" t="s">
        <v>412</v>
      </c>
      <c r="D88" t="s">
        <v>412</v>
      </c>
      <c r="E88" t="s">
        <v>412</v>
      </c>
      <c r="F88" t="s">
        <v>412</v>
      </c>
      <c r="I88" t="s">
        <v>14</v>
      </c>
      <c r="J88" t="s">
        <v>411</v>
      </c>
      <c r="K88" t="s">
        <v>411</v>
      </c>
      <c r="L88" t="s">
        <v>411</v>
      </c>
      <c r="M88" t="s">
        <v>411</v>
      </c>
      <c r="N88" t="s">
        <v>411</v>
      </c>
      <c r="AF88" t="s">
        <v>55</v>
      </c>
    </row>
    <row r="89" spans="1:33" x14ac:dyDescent="0.25">
      <c r="B89" t="s">
        <v>65</v>
      </c>
      <c r="C89" t="s">
        <v>65</v>
      </c>
      <c r="D89" t="s">
        <v>65</v>
      </c>
      <c r="E89" t="s">
        <v>65</v>
      </c>
      <c r="F89" t="s">
        <v>65</v>
      </c>
      <c r="J89" t="s">
        <v>140</v>
      </c>
      <c r="K89" t="s">
        <v>140</v>
      </c>
      <c r="L89" t="s">
        <v>140</v>
      </c>
      <c r="M89" t="s">
        <v>140</v>
      </c>
      <c r="N89" t="s">
        <v>140</v>
      </c>
      <c r="Q89">
        <v>1</v>
      </c>
      <c r="R89">
        <v>2</v>
      </c>
      <c r="S89">
        <v>3</v>
      </c>
      <c r="T89">
        <v>4</v>
      </c>
      <c r="U89">
        <v>5</v>
      </c>
      <c r="V89">
        <v>6</v>
      </c>
      <c r="W89">
        <v>7</v>
      </c>
      <c r="X89">
        <v>8</v>
      </c>
      <c r="Y89">
        <v>9</v>
      </c>
      <c r="Z89">
        <v>10</v>
      </c>
      <c r="AA89">
        <v>11</v>
      </c>
      <c r="AB89">
        <v>12</v>
      </c>
    </row>
    <row r="90" spans="1:33" x14ac:dyDescent="0.25">
      <c r="B90">
        <v>1</v>
      </c>
      <c r="C90">
        <v>2</v>
      </c>
      <c r="D90">
        <v>3</v>
      </c>
      <c r="E90">
        <v>4</v>
      </c>
      <c r="F90">
        <v>5</v>
      </c>
      <c r="J90">
        <v>1</v>
      </c>
      <c r="K90">
        <v>2</v>
      </c>
      <c r="L90">
        <v>3</v>
      </c>
      <c r="M90">
        <v>4</v>
      </c>
      <c r="N90">
        <v>5</v>
      </c>
      <c r="P90" t="s">
        <v>353</v>
      </c>
      <c r="Q90">
        <v>40120</v>
      </c>
      <c r="R90">
        <v>49163</v>
      </c>
      <c r="S90">
        <v>52215</v>
      </c>
      <c r="T90">
        <v>64700</v>
      </c>
      <c r="U90">
        <v>72800</v>
      </c>
      <c r="V90">
        <v>80900</v>
      </c>
      <c r="W90">
        <v>89000</v>
      </c>
      <c r="X90">
        <v>97100</v>
      </c>
      <c r="Y90">
        <v>105200</v>
      </c>
      <c r="Z90">
        <v>113300</v>
      </c>
      <c r="AA90">
        <v>121400</v>
      </c>
      <c r="AB90">
        <v>129500</v>
      </c>
      <c r="AE90" t="s">
        <v>577</v>
      </c>
      <c r="AF90">
        <v>0</v>
      </c>
      <c r="AG90">
        <v>182</v>
      </c>
    </row>
    <row r="91" spans="1:33" x14ac:dyDescent="0.25">
      <c r="A91" t="s">
        <v>508</v>
      </c>
      <c r="B91">
        <v>773</v>
      </c>
      <c r="C91">
        <v>907</v>
      </c>
      <c r="D91">
        <v>956</v>
      </c>
      <c r="E91">
        <v>1066</v>
      </c>
      <c r="F91">
        <v>1083</v>
      </c>
      <c r="I91" t="s">
        <v>508</v>
      </c>
      <c r="J91">
        <v>467</v>
      </c>
      <c r="K91">
        <v>549</v>
      </c>
      <c r="L91">
        <v>578</v>
      </c>
      <c r="M91">
        <v>645</v>
      </c>
      <c r="N91">
        <v>655</v>
      </c>
      <c r="P91" t="s">
        <v>354</v>
      </c>
      <c r="Q91">
        <v>53804</v>
      </c>
      <c r="R91">
        <v>71624</v>
      </c>
      <c r="S91">
        <v>82198</v>
      </c>
      <c r="T91">
        <v>88373</v>
      </c>
      <c r="U91">
        <v>96473</v>
      </c>
      <c r="V91">
        <v>104573</v>
      </c>
      <c r="W91">
        <v>112673</v>
      </c>
      <c r="X91">
        <v>120773</v>
      </c>
      <c r="Y91">
        <v>128873</v>
      </c>
      <c r="Z91">
        <v>136973</v>
      </c>
      <c r="AA91">
        <v>145073</v>
      </c>
      <c r="AB91">
        <v>153173</v>
      </c>
      <c r="AF91">
        <v>1</v>
      </c>
      <c r="AG91">
        <v>244</v>
      </c>
    </row>
    <row r="92" spans="1:33" x14ac:dyDescent="0.25">
      <c r="A92" t="s">
        <v>509</v>
      </c>
      <c r="B92">
        <v>943</v>
      </c>
      <c r="C92">
        <v>1107</v>
      </c>
      <c r="D92">
        <v>1166</v>
      </c>
      <c r="E92">
        <v>1300</v>
      </c>
      <c r="F92">
        <v>1321</v>
      </c>
      <c r="I92" t="s">
        <v>509</v>
      </c>
      <c r="J92">
        <v>421</v>
      </c>
      <c r="K92">
        <v>495</v>
      </c>
      <c r="L92">
        <v>522</v>
      </c>
      <c r="M92">
        <v>582</v>
      </c>
      <c r="N92">
        <v>591</v>
      </c>
      <c r="P92" t="s">
        <v>355</v>
      </c>
      <c r="Q92">
        <v>42107</v>
      </c>
      <c r="R92">
        <v>55118</v>
      </c>
      <c r="S92">
        <v>55654</v>
      </c>
      <c r="T92">
        <v>61023</v>
      </c>
      <c r="U92">
        <v>69123</v>
      </c>
      <c r="V92">
        <v>77223</v>
      </c>
      <c r="W92">
        <v>85323</v>
      </c>
      <c r="X92">
        <v>93423</v>
      </c>
      <c r="Y92">
        <v>101523</v>
      </c>
      <c r="Z92">
        <v>109623</v>
      </c>
      <c r="AA92">
        <v>117723</v>
      </c>
      <c r="AB92">
        <v>125823</v>
      </c>
      <c r="AF92">
        <v>2</v>
      </c>
      <c r="AG92">
        <v>488</v>
      </c>
    </row>
    <row r="93" spans="1:33" x14ac:dyDescent="0.25">
      <c r="A93" t="s">
        <v>510</v>
      </c>
      <c r="B93">
        <v>524</v>
      </c>
      <c r="C93">
        <v>615</v>
      </c>
      <c r="D93">
        <v>648</v>
      </c>
      <c r="E93">
        <v>723</v>
      </c>
      <c r="F93">
        <v>734</v>
      </c>
      <c r="I93" t="s">
        <v>510</v>
      </c>
      <c r="J93">
        <v>472</v>
      </c>
      <c r="K93">
        <v>555</v>
      </c>
      <c r="L93">
        <v>584</v>
      </c>
      <c r="M93">
        <v>651</v>
      </c>
      <c r="N93">
        <v>662</v>
      </c>
      <c r="P93" t="s">
        <v>356</v>
      </c>
      <c r="Q93">
        <v>36505</v>
      </c>
      <c r="R93">
        <v>46333</v>
      </c>
      <c r="S93">
        <v>49494</v>
      </c>
      <c r="T93">
        <v>56591</v>
      </c>
      <c r="U93">
        <v>64691</v>
      </c>
      <c r="V93">
        <v>72791</v>
      </c>
      <c r="W93">
        <v>80891</v>
      </c>
      <c r="X93">
        <v>88991</v>
      </c>
      <c r="Y93">
        <v>97091</v>
      </c>
      <c r="Z93">
        <v>105191</v>
      </c>
      <c r="AA93">
        <v>113291</v>
      </c>
      <c r="AB93">
        <v>121391</v>
      </c>
    </row>
    <row r="94" spans="1:33" x14ac:dyDescent="0.25">
      <c r="A94" t="s">
        <v>511</v>
      </c>
      <c r="B94">
        <v>611</v>
      </c>
      <c r="C94">
        <v>718</v>
      </c>
      <c r="D94">
        <v>756</v>
      </c>
      <c r="E94">
        <v>843</v>
      </c>
      <c r="F94">
        <v>857</v>
      </c>
      <c r="I94" t="s">
        <v>511</v>
      </c>
      <c r="J94">
        <v>463</v>
      </c>
      <c r="K94">
        <v>543</v>
      </c>
      <c r="L94">
        <v>573</v>
      </c>
      <c r="M94">
        <v>639</v>
      </c>
      <c r="N94">
        <v>649</v>
      </c>
      <c r="P94" t="s">
        <v>357</v>
      </c>
      <c r="Q94">
        <v>48415</v>
      </c>
      <c r="R94">
        <v>63030</v>
      </c>
      <c r="S94">
        <v>67401</v>
      </c>
      <c r="T94">
        <v>75656</v>
      </c>
      <c r="U94">
        <v>83756</v>
      </c>
      <c r="V94">
        <v>91856</v>
      </c>
      <c r="W94">
        <v>99956</v>
      </c>
      <c r="X94">
        <v>108056</v>
      </c>
      <c r="Y94">
        <v>116156</v>
      </c>
      <c r="Z94">
        <v>124256</v>
      </c>
      <c r="AA94">
        <v>132356</v>
      </c>
      <c r="AB94">
        <v>140456</v>
      </c>
    </row>
    <row r="95" spans="1:33" x14ac:dyDescent="0.25">
      <c r="A95" t="s">
        <v>512</v>
      </c>
      <c r="B95">
        <v>674</v>
      </c>
      <c r="C95">
        <v>791</v>
      </c>
      <c r="D95">
        <v>834</v>
      </c>
      <c r="E95">
        <v>929</v>
      </c>
      <c r="F95">
        <v>944</v>
      </c>
      <c r="I95" t="s">
        <v>512</v>
      </c>
      <c r="J95">
        <v>447</v>
      </c>
      <c r="K95">
        <v>525</v>
      </c>
      <c r="L95">
        <v>553</v>
      </c>
      <c r="M95">
        <v>617</v>
      </c>
      <c r="N95">
        <v>627</v>
      </c>
      <c r="P95" t="s">
        <v>358</v>
      </c>
      <c r="Q95">
        <v>49549</v>
      </c>
      <c r="R95">
        <v>65631</v>
      </c>
      <c r="S95">
        <v>72259</v>
      </c>
      <c r="T95">
        <v>86787</v>
      </c>
      <c r="U95">
        <v>94887</v>
      </c>
      <c r="V95">
        <v>102987</v>
      </c>
      <c r="W95">
        <v>111087</v>
      </c>
      <c r="X95">
        <v>119187</v>
      </c>
      <c r="Y95">
        <v>127287</v>
      </c>
      <c r="Z95">
        <v>135387</v>
      </c>
      <c r="AA95">
        <v>143487</v>
      </c>
      <c r="AB95">
        <v>151587</v>
      </c>
    </row>
    <row r="96" spans="1:33" x14ac:dyDescent="0.25">
      <c r="A96" t="s">
        <v>513</v>
      </c>
      <c r="B96">
        <v>549</v>
      </c>
      <c r="C96">
        <v>644</v>
      </c>
      <c r="D96">
        <v>679</v>
      </c>
      <c r="E96">
        <v>757</v>
      </c>
      <c r="F96">
        <v>769</v>
      </c>
      <c r="I96" t="s">
        <v>513</v>
      </c>
      <c r="J96">
        <v>484</v>
      </c>
      <c r="K96">
        <v>569</v>
      </c>
      <c r="L96">
        <v>599</v>
      </c>
      <c r="M96">
        <v>668</v>
      </c>
      <c r="N96">
        <v>679</v>
      </c>
      <c r="P96" t="s">
        <v>359</v>
      </c>
      <c r="Q96">
        <v>58337</v>
      </c>
      <c r="R96">
        <v>72878</v>
      </c>
      <c r="S96">
        <v>86390</v>
      </c>
      <c r="T96">
        <v>102530</v>
      </c>
      <c r="U96">
        <v>110630</v>
      </c>
      <c r="V96">
        <v>118730</v>
      </c>
      <c r="W96">
        <v>126830</v>
      </c>
      <c r="X96">
        <v>134930</v>
      </c>
      <c r="Y96">
        <v>143030</v>
      </c>
      <c r="Z96">
        <v>151130</v>
      </c>
      <c r="AA96">
        <v>159230</v>
      </c>
      <c r="AB96">
        <v>167330</v>
      </c>
    </row>
    <row r="97" spans="1:33" x14ac:dyDescent="0.25">
      <c r="A97" t="s">
        <v>514</v>
      </c>
      <c r="B97">
        <v>519</v>
      </c>
      <c r="C97">
        <v>610</v>
      </c>
      <c r="D97">
        <v>643</v>
      </c>
      <c r="E97">
        <v>717</v>
      </c>
      <c r="F97">
        <v>728</v>
      </c>
      <c r="I97" t="s">
        <v>514</v>
      </c>
      <c r="J97">
        <v>470</v>
      </c>
      <c r="K97">
        <v>552</v>
      </c>
      <c r="L97">
        <v>581</v>
      </c>
      <c r="M97">
        <v>648</v>
      </c>
      <c r="N97">
        <v>659</v>
      </c>
      <c r="P97" t="s">
        <v>360</v>
      </c>
      <c r="Q97">
        <v>48284</v>
      </c>
      <c r="R97">
        <v>62707</v>
      </c>
      <c r="S97">
        <v>73284</v>
      </c>
      <c r="T97">
        <v>85150</v>
      </c>
      <c r="U97">
        <v>93250</v>
      </c>
      <c r="V97">
        <v>101350</v>
      </c>
      <c r="W97">
        <v>109450</v>
      </c>
      <c r="X97">
        <v>117550</v>
      </c>
      <c r="Y97">
        <v>125650</v>
      </c>
      <c r="Z97">
        <v>133750</v>
      </c>
      <c r="AA97">
        <v>141850</v>
      </c>
      <c r="AB97">
        <v>149950</v>
      </c>
      <c r="AE97" t="s">
        <v>578</v>
      </c>
      <c r="AF97">
        <v>1</v>
      </c>
      <c r="AG97">
        <v>517</v>
      </c>
    </row>
    <row r="98" spans="1:33" x14ac:dyDescent="0.25">
      <c r="A98" t="s">
        <v>515</v>
      </c>
      <c r="B98">
        <v>614</v>
      </c>
      <c r="C98">
        <v>721</v>
      </c>
      <c r="D98">
        <v>760</v>
      </c>
      <c r="E98">
        <v>848</v>
      </c>
      <c r="F98">
        <v>862</v>
      </c>
      <c r="I98" t="s">
        <v>515</v>
      </c>
      <c r="J98">
        <v>447</v>
      </c>
      <c r="K98">
        <v>525</v>
      </c>
      <c r="L98">
        <v>553</v>
      </c>
      <c r="M98">
        <v>616</v>
      </c>
      <c r="N98">
        <v>626</v>
      </c>
      <c r="P98" t="s">
        <v>361</v>
      </c>
      <c r="Q98">
        <v>50186</v>
      </c>
      <c r="R98">
        <v>81960</v>
      </c>
      <c r="S98">
        <v>81960</v>
      </c>
      <c r="T98">
        <v>81960</v>
      </c>
      <c r="U98">
        <v>90060</v>
      </c>
      <c r="V98">
        <v>98160</v>
      </c>
      <c r="W98">
        <v>106260</v>
      </c>
      <c r="X98">
        <v>114360</v>
      </c>
      <c r="Y98">
        <v>122460</v>
      </c>
      <c r="Z98">
        <v>130560</v>
      </c>
      <c r="AA98">
        <v>138660</v>
      </c>
      <c r="AB98">
        <v>146760</v>
      </c>
      <c r="AF98">
        <v>2</v>
      </c>
      <c r="AG98">
        <v>1034</v>
      </c>
    </row>
    <row r="99" spans="1:33" x14ac:dyDescent="0.25">
      <c r="A99" t="s">
        <v>516</v>
      </c>
      <c r="B99">
        <v>533</v>
      </c>
      <c r="C99">
        <v>625</v>
      </c>
      <c r="D99">
        <v>659</v>
      </c>
      <c r="E99">
        <v>735</v>
      </c>
      <c r="F99">
        <v>746</v>
      </c>
      <c r="I99" t="s">
        <v>516</v>
      </c>
      <c r="J99">
        <v>468</v>
      </c>
      <c r="K99">
        <v>550</v>
      </c>
      <c r="L99">
        <v>580</v>
      </c>
      <c r="M99">
        <v>646</v>
      </c>
      <c r="N99">
        <v>657</v>
      </c>
      <c r="P99" t="s">
        <v>362</v>
      </c>
      <c r="Q99">
        <v>41915</v>
      </c>
      <c r="R99">
        <v>51760</v>
      </c>
      <c r="S99">
        <v>54934</v>
      </c>
      <c r="T99">
        <v>65260</v>
      </c>
      <c r="U99">
        <v>73360</v>
      </c>
      <c r="V99">
        <v>81460</v>
      </c>
      <c r="W99">
        <v>89560</v>
      </c>
      <c r="X99">
        <v>97660</v>
      </c>
      <c r="Y99">
        <v>105760</v>
      </c>
      <c r="Z99">
        <v>113860</v>
      </c>
      <c r="AA99">
        <v>121960</v>
      </c>
      <c r="AB99">
        <v>130060</v>
      </c>
    </row>
    <row r="100" spans="1:33" x14ac:dyDescent="0.25">
      <c r="A100" t="s">
        <v>517</v>
      </c>
      <c r="B100">
        <v>549</v>
      </c>
      <c r="C100">
        <v>645</v>
      </c>
      <c r="D100">
        <v>679</v>
      </c>
      <c r="E100">
        <v>757</v>
      </c>
      <c r="F100">
        <v>769</v>
      </c>
      <c r="I100" t="s">
        <v>517</v>
      </c>
      <c r="J100">
        <v>502</v>
      </c>
      <c r="K100">
        <v>590</v>
      </c>
      <c r="L100">
        <v>622</v>
      </c>
      <c r="M100">
        <v>693</v>
      </c>
      <c r="N100">
        <v>705</v>
      </c>
      <c r="P100" t="s">
        <v>363</v>
      </c>
      <c r="Q100">
        <v>41214</v>
      </c>
      <c r="R100">
        <v>51954</v>
      </c>
      <c r="S100">
        <v>56189</v>
      </c>
      <c r="T100">
        <v>67214</v>
      </c>
      <c r="U100">
        <v>75314</v>
      </c>
      <c r="V100">
        <v>83414</v>
      </c>
      <c r="W100">
        <v>91514</v>
      </c>
      <c r="X100">
        <v>99614</v>
      </c>
      <c r="Y100">
        <v>107714</v>
      </c>
      <c r="Z100">
        <v>115814</v>
      </c>
      <c r="AA100">
        <v>123914</v>
      </c>
      <c r="AB100">
        <v>132014</v>
      </c>
    </row>
    <row r="101" spans="1:33" x14ac:dyDescent="0.25">
      <c r="A101" t="s">
        <v>518</v>
      </c>
      <c r="B101">
        <v>598</v>
      </c>
      <c r="C101">
        <v>702</v>
      </c>
      <c r="D101">
        <v>740</v>
      </c>
      <c r="E101">
        <v>825</v>
      </c>
      <c r="F101">
        <v>838</v>
      </c>
      <c r="I101" t="s">
        <v>518</v>
      </c>
      <c r="J101">
        <v>475</v>
      </c>
      <c r="K101">
        <v>558</v>
      </c>
      <c r="L101">
        <v>588</v>
      </c>
      <c r="M101">
        <v>656</v>
      </c>
      <c r="N101">
        <v>666</v>
      </c>
      <c r="P101" t="s">
        <v>364</v>
      </c>
      <c r="Q101">
        <v>49919</v>
      </c>
      <c r="R101">
        <v>63896</v>
      </c>
      <c r="S101">
        <v>76001</v>
      </c>
      <c r="T101">
        <v>84690</v>
      </c>
      <c r="U101">
        <v>92790</v>
      </c>
      <c r="V101">
        <v>100890</v>
      </c>
      <c r="W101">
        <v>108990</v>
      </c>
      <c r="X101">
        <v>117090</v>
      </c>
      <c r="Y101">
        <v>125190</v>
      </c>
      <c r="Z101">
        <v>133290</v>
      </c>
      <c r="AA101">
        <v>141390</v>
      </c>
      <c r="AB101">
        <v>149490</v>
      </c>
    </row>
    <row r="102" spans="1:33" x14ac:dyDescent="0.25">
      <c r="A102" t="s">
        <v>519</v>
      </c>
      <c r="B102">
        <v>481</v>
      </c>
      <c r="C102">
        <v>565</v>
      </c>
      <c r="D102">
        <v>596</v>
      </c>
      <c r="E102">
        <v>665</v>
      </c>
      <c r="F102">
        <v>675</v>
      </c>
      <c r="I102" t="s">
        <v>519</v>
      </c>
      <c r="J102">
        <v>478</v>
      </c>
      <c r="K102">
        <v>561</v>
      </c>
      <c r="L102">
        <v>591</v>
      </c>
      <c r="M102">
        <v>659</v>
      </c>
      <c r="N102">
        <v>670</v>
      </c>
      <c r="P102" t="s">
        <v>365</v>
      </c>
      <c r="Q102">
        <v>41785</v>
      </c>
      <c r="R102">
        <v>49896</v>
      </c>
      <c r="S102">
        <v>50506</v>
      </c>
      <c r="T102">
        <v>62322</v>
      </c>
      <c r="U102">
        <v>70422</v>
      </c>
      <c r="V102">
        <v>78522</v>
      </c>
      <c r="W102">
        <v>86622</v>
      </c>
      <c r="X102">
        <v>94722</v>
      </c>
      <c r="Y102">
        <v>102822</v>
      </c>
      <c r="Z102">
        <v>110922</v>
      </c>
      <c r="AA102">
        <v>119022</v>
      </c>
      <c r="AB102">
        <v>127122</v>
      </c>
    </row>
    <row r="103" spans="1:33" x14ac:dyDescent="0.25">
      <c r="A103" t="s">
        <v>520</v>
      </c>
      <c r="B103">
        <v>594</v>
      </c>
      <c r="C103">
        <v>697</v>
      </c>
      <c r="D103">
        <v>735</v>
      </c>
      <c r="E103">
        <v>820</v>
      </c>
      <c r="F103">
        <v>833</v>
      </c>
      <c r="I103" t="s">
        <v>520</v>
      </c>
      <c r="J103">
        <v>480</v>
      </c>
      <c r="K103">
        <v>564</v>
      </c>
      <c r="L103">
        <v>594</v>
      </c>
      <c r="M103">
        <v>662</v>
      </c>
      <c r="N103">
        <v>673</v>
      </c>
      <c r="P103" t="s">
        <v>366</v>
      </c>
      <c r="Q103">
        <v>47485</v>
      </c>
      <c r="R103">
        <v>59861</v>
      </c>
      <c r="S103">
        <v>68721</v>
      </c>
      <c r="T103">
        <v>80776</v>
      </c>
      <c r="U103">
        <v>88876</v>
      </c>
      <c r="V103">
        <v>96976</v>
      </c>
      <c r="W103">
        <v>105076</v>
      </c>
      <c r="X103">
        <v>113176</v>
      </c>
      <c r="Y103">
        <v>121276</v>
      </c>
      <c r="Z103">
        <v>129376</v>
      </c>
      <c r="AA103">
        <v>137476</v>
      </c>
      <c r="AB103">
        <v>145576</v>
      </c>
    </row>
    <row r="104" spans="1:33" x14ac:dyDescent="0.25">
      <c r="A104" t="s">
        <v>521</v>
      </c>
      <c r="B104">
        <v>551</v>
      </c>
      <c r="C104">
        <v>647</v>
      </c>
      <c r="D104">
        <v>682</v>
      </c>
      <c r="E104">
        <v>760</v>
      </c>
      <c r="F104">
        <v>772</v>
      </c>
      <c r="I104" t="s">
        <v>521</v>
      </c>
      <c r="J104">
        <v>420</v>
      </c>
      <c r="K104">
        <v>494</v>
      </c>
      <c r="L104">
        <v>520</v>
      </c>
      <c r="M104">
        <v>581</v>
      </c>
      <c r="N104">
        <v>590</v>
      </c>
      <c r="P104" t="s">
        <v>367</v>
      </c>
      <c r="Q104">
        <v>42089</v>
      </c>
      <c r="R104">
        <v>52618</v>
      </c>
      <c r="S104">
        <v>58916</v>
      </c>
      <c r="T104">
        <v>70763</v>
      </c>
      <c r="U104">
        <v>78863</v>
      </c>
      <c r="V104">
        <v>86963</v>
      </c>
      <c r="W104">
        <v>95063</v>
      </c>
      <c r="X104">
        <v>103163</v>
      </c>
      <c r="Y104">
        <v>111263</v>
      </c>
      <c r="Z104">
        <v>119363</v>
      </c>
      <c r="AA104">
        <v>127463</v>
      </c>
      <c r="AB104">
        <v>135563</v>
      </c>
    </row>
    <row r="105" spans="1:33" x14ac:dyDescent="0.25">
      <c r="A105" t="s">
        <v>522</v>
      </c>
      <c r="B105">
        <v>537</v>
      </c>
      <c r="C105">
        <v>631</v>
      </c>
      <c r="D105">
        <v>665</v>
      </c>
      <c r="E105">
        <v>741</v>
      </c>
      <c r="F105">
        <v>753</v>
      </c>
      <c r="I105" t="s">
        <v>522</v>
      </c>
      <c r="J105">
        <v>475</v>
      </c>
      <c r="K105">
        <v>557</v>
      </c>
      <c r="L105">
        <v>587</v>
      </c>
      <c r="M105">
        <v>655</v>
      </c>
      <c r="N105">
        <v>666</v>
      </c>
      <c r="P105" t="s">
        <v>368</v>
      </c>
      <c r="Q105">
        <v>42207</v>
      </c>
      <c r="R105">
        <v>58852</v>
      </c>
      <c r="S105">
        <v>64552</v>
      </c>
      <c r="T105">
        <v>78366</v>
      </c>
      <c r="U105">
        <v>86466</v>
      </c>
      <c r="V105">
        <v>94566</v>
      </c>
      <c r="W105">
        <v>102666</v>
      </c>
      <c r="X105">
        <v>110766</v>
      </c>
      <c r="Y105">
        <v>118866</v>
      </c>
      <c r="Z105">
        <v>126966</v>
      </c>
      <c r="AA105">
        <v>135066</v>
      </c>
      <c r="AB105">
        <v>143166</v>
      </c>
    </row>
    <row r="106" spans="1:33" x14ac:dyDescent="0.25">
      <c r="A106" t="s">
        <v>523</v>
      </c>
      <c r="B106">
        <v>679</v>
      </c>
      <c r="C106">
        <v>798</v>
      </c>
      <c r="D106">
        <v>841</v>
      </c>
      <c r="E106">
        <v>938</v>
      </c>
      <c r="F106">
        <v>953</v>
      </c>
      <c r="I106" t="s">
        <v>523</v>
      </c>
      <c r="J106">
        <v>444</v>
      </c>
      <c r="K106">
        <v>521</v>
      </c>
      <c r="L106">
        <v>549</v>
      </c>
      <c r="M106">
        <v>612</v>
      </c>
      <c r="N106">
        <v>622</v>
      </c>
      <c r="P106" t="s">
        <v>369</v>
      </c>
      <c r="Q106">
        <v>42577</v>
      </c>
      <c r="R106">
        <v>56851</v>
      </c>
      <c r="S106">
        <v>65907</v>
      </c>
      <c r="T106">
        <v>76402</v>
      </c>
      <c r="U106">
        <v>84502</v>
      </c>
      <c r="V106">
        <v>92602</v>
      </c>
      <c r="W106">
        <v>100702</v>
      </c>
      <c r="X106">
        <v>108802</v>
      </c>
      <c r="Y106">
        <v>116902</v>
      </c>
      <c r="Z106">
        <v>125002</v>
      </c>
      <c r="AA106">
        <v>133102</v>
      </c>
      <c r="AB106">
        <v>141202</v>
      </c>
    </row>
    <row r="107" spans="1:33" x14ac:dyDescent="0.25">
      <c r="A107" t="s">
        <v>524</v>
      </c>
      <c r="B107">
        <v>597</v>
      </c>
      <c r="C107">
        <v>701</v>
      </c>
      <c r="D107">
        <v>739</v>
      </c>
      <c r="E107">
        <v>824</v>
      </c>
      <c r="F107">
        <v>838</v>
      </c>
      <c r="I107" t="s">
        <v>524</v>
      </c>
      <c r="J107">
        <v>481</v>
      </c>
      <c r="K107">
        <v>565</v>
      </c>
      <c r="L107">
        <v>595</v>
      </c>
      <c r="M107">
        <v>663</v>
      </c>
      <c r="N107">
        <v>674</v>
      </c>
      <c r="P107" t="s">
        <v>370</v>
      </c>
      <c r="Q107">
        <v>40020</v>
      </c>
      <c r="R107">
        <v>46815</v>
      </c>
      <c r="S107">
        <v>55613</v>
      </c>
      <c r="T107">
        <v>67783</v>
      </c>
      <c r="U107">
        <v>75883</v>
      </c>
      <c r="V107">
        <v>83983</v>
      </c>
      <c r="W107">
        <v>92083</v>
      </c>
      <c r="X107">
        <v>100183</v>
      </c>
      <c r="Y107">
        <v>108283</v>
      </c>
      <c r="Z107">
        <v>116383</v>
      </c>
      <c r="AA107">
        <v>124483</v>
      </c>
      <c r="AB107">
        <v>132583</v>
      </c>
    </row>
    <row r="108" spans="1:33" x14ac:dyDescent="0.25">
      <c r="A108" t="s">
        <v>525</v>
      </c>
      <c r="B108">
        <v>430</v>
      </c>
      <c r="C108">
        <v>505</v>
      </c>
      <c r="D108">
        <v>533</v>
      </c>
      <c r="E108">
        <v>594</v>
      </c>
      <c r="F108">
        <v>604</v>
      </c>
      <c r="I108" t="s">
        <v>525</v>
      </c>
      <c r="J108">
        <v>434</v>
      </c>
      <c r="K108">
        <v>510</v>
      </c>
      <c r="L108">
        <v>537</v>
      </c>
      <c r="M108">
        <v>599</v>
      </c>
      <c r="N108">
        <v>608</v>
      </c>
      <c r="P108" t="s">
        <v>371</v>
      </c>
      <c r="Q108">
        <v>37967</v>
      </c>
      <c r="R108">
        <v>47731</v>
      </c>
      <c r="S108">
        <v>55863</v>
      </c>
      <c r="T108">
        <v>70347</v>
      </c>
      <c r="U108">
        <v>78447</v>
      </c>
      <c r="V108">
        <v>86547</v>
      </c>
      <c r="W108">
        <v>94647</v>
      </c>
      <c r="X108">
        <v>102747</v>
      </c>
      <c r="Y108">
        <v>110847</v>
      </c>
      <c r="Z108">
        <v>118947</v>
      </c>
      <c r="AA108">
        <v>127047</v>
      </c>
      <c r="AB108">
        <v>135147</v>
      </c>
    </row>
    <row r="109" spans="1:33" x14ac:dyDescent="0.25">
      <c r="A109" t="s">
        <v>526</v>
      </c>
      <c r="B109">
        <v>478</v>
      </c>
      <c r="C109">
        <v>562</v>
      </c>
      <c r="D109">
        <v>592</v>
      </c>
      <c r="E109">
        <v>660</v>
      </c>
      <c r="F109">
        <v>671</v>
      </c>
      <c r="I109" t="s">
        <v>526</v>
      </c>
      <c r="J109">
        <v>463</v>
      </c>
      <c r="K109">
        <v>544</v>
      </c>
      <c r="L109">
        <v>573</v>
      </c>
      <c r="M109">
        <v>639</v>
      </c>
      <c r="N109">
        <v>649</v>
      </c>
      <c r="P109" t="s">
        <v>372</v>
      </c>
      <c r="Q109">
        <v>41488</v>
      </c>
      <c r="R109">
        <v>53227</v>
      </c>
      <c r="S109">
        <v>60425</v>
      </c>
      <c r="T109">
        <v>79931</v>
      </c>
      <c r="U109">
        <v>88031</v>
      </c>
      <c r="V109">
        <v>96131</v>
      </c>
      <c r="W109">
        <v>104231</v>
      </c>
      <c r="X109">
        <v>112331</v>
      </c>
      <c r="Y109">
        <v>120431</v>
      </c>
      <c r="Z109">
        <v>128531</v>
      </c>
      <c r="AA109">
        <v>136631</v>
      </c>
      <c r="AB109">
        <v>144731</v>
      </c>
    </row>
    <row r="110" spans="1:33" x14ac:dyDescent="0.25">
      <c r="A110" t="s">
        <v>527</v>
      </c>
      <c r="B110">
        <v>536</v>
      </c>
      <c r="C110">
        <v>630</v>
      </c>
      <c r="D110">
        <v>663</v>
      </c>
      <c r="E110">
        <v>740</v>
      </c>
      <c r="F110">
        <v>751</v>
      </c>
      <c r="I110" t="s">
        <v>527</v>
      </c>
      <c r="J110">
        <v>458</v>
      </c>
      <c r="K110">
        <v>538</v>
      </c>
      <c r="L110">
        <v>567</v>
      </c>
      <c r="M110">
        <v>632</v>
      </c>
      <c r="N110">
        <v>643</v>
      </c>
      <c r="P110" t="s">
        <v>373</v>
      </c>
      <c r="Q110">
        <v>58269</v>
      </c>
      <c r="R110">
        <v>73685</v>
      </c>
      <c r="S110">
        <v>87206</v>
      </c>
      <c r="T110">
        <v>108915</v>
      </c>
      <c r="U110">
        <v>117015</v>
      </c>
      <c r="V110">
        <v>125115</v>
      </c>
      <c r="W110">
        <v>133215</v>
      </c>
      <c r="X110">
        <v>141315</v>
      </c>
      <c r="Y110">
        <v>149415</v>
      </c>
      <c r="Z110">
        <v>157515</v>
      </c>
      <c r="AA110">
        <v>165615</v>
      </c>
      <c r="AB110">
        <v>173715</v>
      </c>
    </row>
    <row r="111" spans="1:33" x14ac:dyDescent="0.25">
      <c r="A111" t="s">
        <v>528</v>
      </c>
      <c r="B111">
        <v>603</v>
      </c>
      <c r="C111">
        <v>708</v>
      </c>
      <c r="D111">
        <v>746</v>
      </c>
      <c r="E111">
        <v>832</v>
      </c>
      <c r="F111">
        <v>845</v>
      </c>
      <c r="I111" t="s">
        <v>528</v>
      </c>
      <c r="J111">
        <v>477</v>
      </c>
      <c r="K111">
        <v>561</v>
      </c>
      <c r="L111">
        <v>591</v>
      </c>
      <c r="M111">
        <v>659</v>
      </c>
      <c r="N111">
        <v>670</v>
      </c>
      <c r="P111" t="s">
        <v>374</v>
      </c>
      <c r="Q111">
        <v>55602</v>
      </c>
      <c r="R111">
        <v>67443</v>
      </c>
      <c r="S111">
        <v>82495</v>
      </c>
      <c r="T111">
        <v>103624</v>
      </c>
      <c r="U111">
        <v>111724</v>
      </c>
      <c r="V111">
        <v>119824</v>
      </c>
      <c r="W111">
        <v>127924</v>
      </c>
      <c r="X111">
        <v>136024</v>
      </c>
      <c r="Y111">
        <v>144124</v>
      </c>
      <c r="Z111">
        <v>152224</v>
      </c>
      <c r="AA111">
        <v>160324</v>
      </c>
      <c r="AB111">
        <v>168424</v>
      </c>
    </row>
    <row r="112" spans="1:33" x14ac:dyDescent="0.25">
      <c r="A112" t="s">
        <v>529</v>
      </c>
      <c r="B112">
        <v>596</v>
      </c>
      <c r="C112">
        <v>701</v>
      </c>
      <c r="D112">
        <v>738</v>
      </c>
      <c r="E112">
        <v>823</v>
      </c>
      <c r="F112">
        <v>837</v>
      </c>
      <c r="I112" t="s">
        <v>529</v>
      </c>
      <c r="J112">
        <v>434</v>
      </c>
      <c r="K112">
        <v>509</v>
      </c>
      <c r="L112">
        <v>537</v>
      </c>
      <c r="M112">
        <v>599</v>
      </c>
      <c r="N112">
        <v>608</v>
      </c>
      <c r="P112" t="s">
        <v>375</v>
      </c>
      <c r="Q112">
        <v>45029</v>
      </c>
      <c r="R112">
        <v>52621</v>
      </c>
      <c r="S112">
        <v>61715</v>
      </c>
      <c r="T112">
        <v>73864</v>
      </c>
      <c r="U112">
        <v>81964</v>
      </c>
      <c r="V112">
        <v>90064</v>
      </c>
      <c r="W112">
        <v>98164</v>
      </c>
      <c r="X112">
        <v>106264</v>
      </c>
      <c r="Y112">
        <v>114364</v>
      </c>
      <c r="Z112">
        <v>122464</v>
      </c>
      <c r="AA112">
        <v>130564</v>
      </c>
      <c r="AB112">
        <v>138664</v>
      </c>
    </row>
    <row r="113" spans="1:28" x14ac:dyDescent="0.25">
      <c r="A113" t="s">
        <v>530</v>
      </c>
      <c r="B113">
        <v>592</v>
      </c>
      <c r="C113">
        <v>695</v>
      </c>
      <c r="D113">
        <v>733</v>
      </c>
      <c r="E113">
        <v>817</v>
      </c>
      <c r="F113">
        <v>831</v>
      </c>
      <c r="I113" t="s">
        <v>530</v>
      </c>
      <c r="J113">
        <v>426</v>
      </c>
      <c r="K113">
        <v>500</v>
      </c>
      <c r="L113">
        <v>526</v>
      </c>
      <c r="M113">
        <v>587</v>
      </c>
      <c r="N113">
        <v>596</v>
      </c>
      <c r="P113" t="s">
        <v>376</v>
      </c>
      <c r="Q113">
        <v>48097</v>
      </c>
      <c r="R113">
        <v>63654</v>
      </c>
      <c r="S113">
        <v>76909</v>
      </c>
      <c r="T113">
        <v>89126</v>
      </c>
      <c r="U113">
        <v>97226</v>
      </c>
      <c r="V113">
        <v>105326</v>
      </c>
      <c r="W113">
        <v>113426</v>
      </c>
      <c r="X113">
        <v>121526</v>
      </c>
      <c r="Y113">
        <v>129626</v>
      </c>
      <c r="Z113">
        <v>137726</v>
      </c>
      <c r="AA113">
        <v>145826</v>
      </c>
      <c r="AB113">
        <v>153926</v>
      </c>
    </row>
    <row r="114" spans="1:28" x14ac:dyDescent="0.25">
      <c r="A114" t="s">
        <v>531</v>
      </c>
      <c r="B114">
        <v>522</v>
      </c>
      <c r="C114">
        <v>613</v>
      </c>
      <c r="D114">
        <v>645</v>
      </c>
      <c r="E114">
        <v>720</v>
      </c>
      <c r="F114">
        <v>732</v>
      </c>
      <c r="I114" t="s">
        <v>531</v>
      </c>
      <c r="J114">
        <v>495</v>
      </c>
      <c r="K114">
        <v>581</v>
      </c>
      <c r="L114">
        <v>613</v>
      </c>
      <c r="M114">
        <v>683</v>
      </c>
      <c r="N114">
        <v>694</v>
      </c>
      <c r="P114" t="s">
        <v>377</v>
      </c>
      <c r="Q114">
        <v>36240</v>
      </c>
      <c r="R114">
        <v>43095</v>
      </c>
      <c r="S114">
        <v>46062</v>
      </c>
      <c r="T114">
        <v>59248</v>
      </c>
      <c r="U114">
        <v>67348</v>
      </c>
      <c r="V114">
        <v>75448</v>
      </c>
      <c r="W114">
        <v>83548</v>
      </c>
      <c r="X114">
        <v>91648</v>
      </c>
      <c r="Y114">
        <v>99748</v>
      </c>
      <c r="Z114">
        <v>107848</v>
      </c>
      <c r="AA114">
        <v>115948</v>
      </c>
      <c r="AB114">
        <v>124048</v>
      </c>
    </row>
    <row r="115" spans="1:28" x14ac:dyDescent="0.25">
      <c r="A115" t="s">
        <v>532</v>
      </c>
      <c r="B115">
        <v>505</v>
      </c>
      <c r="C115">
        <v>593</v>
      </c>
      <c r="D115">
        <v>625</v>
      </c>
      <c r="E115">
        <v>697</v>
      </c>
      <c r="F115">
        <v>708</v>
      </c>
      <c r="I115" t="s">
        <v>532</v>
      </c>
      <c r="J115">
        <v>414</v>
      </c>
      <c r="K115">
        <v>486</v>
      </c>
      <c r="L115">
        <v>512</v>
      </c>
      <c r="M115">
        <v>571</v>
      </c>
      <c r="N115">
        <v>580</v>
      </c>
      <c r="P115" t="s">
        <v>378</v>
      </c>
      <c r="Q115">
        <v>41092</v>
      </c>
      <c r="R115">
        <v>51784</v>
      </c>
      <c r="S115">
        <v>59549</v>
      </c>
      <c r="T115">
        <v>72150</v>
      </c>
      <c r="U115">
        <v>80250</v>
      </c>
      <c r="V115">
        <v>88350</v>
      </c>
      <c r="W115">
        <v>96450</v>
      </c>
      <c r="X115">
        <v>104550</v>
      </c>
      <c r="Y115">
        <v>112650</v>
      </c>
      <c r="Z115">
        <v>120750</v>
      </c>
      <c r="AA115">
        <v>128850</v>
      </c>
      <c r="AB115">
        <v>136950</v>
      </c>
    </row>
    <row r="116" spans="1:28" x14ac:dyDescent="0.25">
      <c r="A116" t="s">
        <v>533</v>
      </c>
      <c r="B116">
        <v>774</v>
      </c>
      <c r="C116">
        <v>909</v>
      </c>
      <c r="D116">
        <v>957</v>
      </c>
      <c r="E116">
        <v>1068</v>
      </c>
      <c r="F116">
        <v>1085</v>
      </c>
      <c r="I116" t="s">
        <v>533</v>
      </c>
      <c r="J116">
        <v>441</v>
      </c>
      <c r="K116">
        <v>518</v>
      </c>
      <c r="L116">
        <v>546</v>
      </c>
      <c r="M116">
        <v>608</v>
      </c>
      <c r="N116">
        <v>618</v>
      </c>
      <c r="P116" t="s">
        <v>379</v>
      </c>
      <c r="Q116">
        <v>42301</v>
      </c>
      <c r="R116">
        <v>54362</v>
      </c>
      <c r="S116">
        <v>56977</v>
      </c>
      <c r="T116">
        <v>67055</v>
      </c>
      <c r="U116">
        <v>75155</v>
      </c>
      <c r="V116">
        <v>83255</v>
      </c>
      <c r="W116">
        <v>91355</v>
      </c>
      <c r="X116">
        <v>99455</v>
      </c>
      <c r="Y116">
        <v>107555</v>
      </c>
      <c r="Z116">
        <v>115655</v>
      </c>
      <c r="AA116">
        <v>123755</v>
      </c>
      <c r="AB116">
        <v>131855</v>
      </c>
    </row>
    <row r="117" spans="1:28" x14ac:dyDescent="0.25">
      <c r="A117" t="s">
        <v>534</v>
      </c>
      <c r="B117">
        <v>546</v>
      </c>
      <c r="C117">
        <v>641</v>
      </c>
      <c r="D117">
        <v>676</v>
      </c>
      <c r="E117">
        <v>754</v>
      </c>
      <c r="F117">
        <v>766</v>
      </c>
      <c r="I117" t="s">
        <v>534</v>
      </c>
      <c r="J117">
        <v>441</v>
      </c>
      <c r="K117">
        <v>519</v>
      </c>
      <c r="L117">
        <v>546</v>
      </c>
      <c r="M117">
        <v>609</v>
      </c>
      <c r="N117">
        <v>619</v>
      </c>
      <c r="P117" t="s">
        <v>380</v>
      </c>
      <c r="Q117">
        <v>41861</v>
      </c>
      <c r="R117">
        <v>59543</v>
      </c>
      <c r="S117">
        <v>67235</v>
      </c>
      <c r="T117">
        <v>77057</v>
      </c>
      <c r="U117">
        <v>85157</v>
      </c>
      <c r="V117">
        <v>93257</v>
      </c>
      <c r="W117">
        <v>101357</v>
      </c>
      <c r="X117">
        <v>109457</v>
      </c>
      <c r="Y117">
        <v>117557</v>
      </c>
      <c r="Z117">
        <v>125657</v>
      </c>
      <c r="AA117">
        <v>133757</v>
      </c>
      <c r="AB117">
        <v>141857</v>
      </c>
    </row>
    <row r="118" spans="1:28" x14ac:dyDescent="0.25">
      <c r="A118" t="s">
        <v>535</v>
      </c>
      <c r="B118">
        <v>617</v>
      </c>
      <c r="C118">
        <v>724</v>
      </c>
      <c r="D118">
        <v>763</v>
      </c>
      <c r="E118">
        <v>851</v>
      </c>
      <c r="F118">
        <v>865</v>
      </c>
      <c r="I118" t="s">
        <v>535</v>
      </c>
      <c r="J118">
        <v>493</v>
      </c>
      <c r="K118">
        <v>579</v>
      </c>
      <c r="L118">
        <v>610</v>
      </c>
      <c r="M118">
        <v>680</v>
      </c>
      <c r="N118">
        <v>691</v>
      </c>
      <c r="P118" t="s">
        <v>381</v>
      </c>
      <c r="Q118">
        <v>44924</v>
      </c>
      <c r="R118">
        <v>55674</v>
      </c>
      <c r="S118">
        <v>55674</v>
      </c>
      <c r="T118">
        <v>66562</v>
      </c>
      <c r="U118">
        <v>74662</v>
      </c>
      <c r="V118">
        <v>82762</v>
      </c>
      <c r="W118">
        <v>90862</v>
      </c>
      <c r="X118">
        <v>98962</v>
      </c>
      <c r="Y118">
        <v>107062</v>
      </c>
      <c r="Z118">
        <v>115162</v>
      </c>
      <c r="AA118">
        <v>123262</v>
      </c>
      <c r="AB118">
        <v>131362</v>
      </c>
    </row>
    <row r="119" spans="1:28" x14ac:dyDescent="0.25">
      <c r="A119" t="s">
        <v>536</v>
      </c>
      <c r="B119">
        <v>539</v>
      </c>
      <c r="C119">
        <v>633</v>
      </c>
      <c r="D119">
        <v>667</v>
      </c>
      <c r="E119">
        <v>743</v>
      </c>
      <c r="F119">
        <v>755</v>
      </c>
      <c r="I119" t="s">
        <v>536</v>
      </c>
      <c r="J119">
        <v>437</v>
      </c>
      <c r="K119">
        <v>513</v>
      </c>
      <c r="L119">
        <v>541</v>
      </c>
      <c r="M119">
        <v>603</v>
      </c>
      <c r="N119">
        <v>613</v>
      </c>
      <c r="P119" t="s">
        <v>382</v>
      </c>
      <c r="Q119">
        <v>52588</v>
      </c>
      <c r="R119">
        <v>65830</v>
      </c>
      <c r="S119">
        <v>82924</v>
      </c>
      <c r="T119">
        <v>99457</v>
      </c>
      <c r="U119">
        <v>107557</v>
      </c>
      <c r="V119">
        <v>115657</v>
      </c>
      <c r="W119">
        <v>123757</v>
      </c>
      <c r="X119">
        <v>131857</v>
      </c>
      <c r="Y119">
        <v>139957</v>
      </c>
      <c r="Z119">
        <v>148057</v>
      </c>
      <c r="AA119">
        <v>156157</v>
      </c>
      <c r="AB119">
        <v>164257</v>
      </c>
    </row>
    <row r="120" spans="1:28" x14ac:dyDescent="0.25">
      <c r="A120" t="s">
        <v>537</v>
      </c>
      <c r="B120">
        <v>520</v>
      </c>
      <c r="C120">
        <v>612</v>
      </c>
      <c r="D120">
        <v>644</v>
      </c>
      <c r="E120">
        <v>719</v>
      </c>
      <c r="F120">
        <v>730</v>
      </c>
      <c r="I120" t="s">
        <v>537</v>
      </c>
      <c r="J120">
        <v>462</v>
      </c>
      <c r="K120">
        <v>542</v>
      </c>
      <c r="L120">
        <v>572</v>
      </c>
      <c r="M120">
        <v>637</v>
      </c>
      <c r="N120">
        <v>648</v>
      </c>
      <c r="P120" t="s">
        <v>383</v>
      </c>
      <c r="Q120">
        <v>61146</v>
      </c>
      <c r="R120">
        <v>69697</v>
      </c>
      <c r="S120">
        <v>85016</v>
      </c>
      <c r="T120">
        <v>103786</v>
      </c>
      <c r="U120">
        <v>111886</v>
      </c>
      <c r="V120">
        <v>119986</v>
      </c>
      <c r="W120">
        <v>128086</v>
      </c>
      <c r="X120">
        <v>136186</v>
      </c>
      <c r="Y120">
        <v>144286</v>
      </c>
      <c r="Z120">
        <v>152386</v>
      </c>
      <c r="AA120">
        <v>160486</v>
      </c>
      <c r="AB120">
        <v>168586</v>
      </c>
    </row>
    <row r="121" spans="1:28" x14ac:dyDescent="0.25">
      <c r="A121" t="s">
        <v>538</v>
      </c>
      <c r="B121">
        <v>529</v>
      </c>
      <c r="C121">
        <v>621</v>
      </c>
      <c r="D121">
        <v>654</v>
      </c>
      <c r="E121">
        <v>729</v>
      </c>
      <c r="F121">
        <v>741</v>
      </c>
      <c r="I121" t="s">
        <v>538</v>
      </c>
      <c r="J121">
        <v>436</v>
      </c>
      <c r="K121">
        <v>512</v>
      </c>
      <c r="L121">
        <v>540</v>
      </c>
      <c r="M121">
        <v>602</v>
      </c>
      <c r="N121">
        <v>612</v>
      </c>
      <c r="P121" t="s">
        <v>384</v>
      </c>
      <c r="Q121">
        <v>38349</v>
      </c>
      <c r="R121">
        <v>51965</v>
      </c>
      <c r="S121">
        <v>51965</v>
      </c>
      <c r="T121">
        <v>61617</v>
      </c>
      <c r="U121">
        <v>69717</v>
      </c>
      <c r="V121">
        <v>77817</v>
      </c>
      <c r="W121">
        <v>85917</v>
      </c>
      <c r="X121">
        <v>94017</v>
      </c>
      <c r="Y121">
        <v>102117</v>
      </c>
      <c r="Z121">
        <v>110217</v>
      </c>
      <c r="AA121">
        <v>118317</v>
      </c>
      <c r="AB121">
        <v>126417</v>
      </c>
    </row>
    <row r="122" spans="1:28" x14ac:dyDescent="0.25">
      <c r="A122" t="s">
        <v>539</v>
      </c>
      <c r="B122">
        <v>447</v>
      </c>
      <c r="C122">
        <v>525</v>
      </c>
      <c r="D122">
        <v>553</v>
      </c>
      <c r="E122">
        <v>616</v>
      </c>
      <c r="F122">
        <v>626</v>
      </c>
      <c r="I122" t="s">
        <v>539</v>
      </c>
      <c r="J122">
        <v>476</v>
      </c>
      <c r="K122">
        <v>559</v>
      </c>
      <c r="L122">
        <v>589</v>
      </c>
      <c r="M122">
        <v>657</v>
      </c>
      <c r="N122">
        <v>668</v>
      </c>
      <c r="P122" t="s">
        <v>385</v>
      </c>
      <c r="Q122">
        <v>47790</v>
      </c>
      <c r="R122">
        <v>59308</v>
      </c>
      <c r="S122">
        <v>69052</v>
      </c>
      <c r="T122">
        <v>83209</v>
      </c>
      <c r="U122">
        <v>91309</v>
      </c>
      <c r="V122">
        <v>99409</v>
      </c>
      <c r="W122">
        <v>107509</v>
      </c>
      <c r="X122">
        <v>115609</v>
      </c>
      <c r="Y122">
        <v>123709</v>
      </c>
      <c r="Z122">
        <v>131809</v>
      </c>
      <c r="AA122">
        <v>139909</v>
      </c>
      <c r="AB122">
        <v>148009</v>
      </c>
    </row>
    <row r="123" spans="1:28" x14ac:dyDescent="0.25">
      <c r="A123" t="s">
        <v>540</v>
      </c>
      <c r="B123">
        <v>458</v>
      </c>
      <c r="C123">
        <v>538</v>
      </c>
      <c r="D123">
        <v>567</v>
      </c>
      <c r="E123">
        <v>632</v>
      </c>
      <c r="F123">
        <v>642</v>
      </c>
      <c r="I123" t="s">
        <v>540</v>
      </c>
      <c r="J123">
        <v>488</v>
      </c>
      <c r="K123">
        <v>573</v>
      </c>
      <c r="L123">
        <v>604</v>
      </c>
      <c r="M123">
        <v>674</v>
      </c>
      <c r="N123">
        <v>685</v>
      </c>
      <c r="P123" t="s">
        <v>386</v>
      </c>
      <c r="Q123">
        <v>40710</v>
      </c>
      <c r="R123">
        <v>51812</v>
      </c>
      <c r="S123">
        <v>56339</v>
      </c>
      <c r="T123">
        <v>64983</v>
      </c>
      <c r="U123">
        <v>73083</v>
      </c>
      <c r="V123">
        <v>81183</v>
      </c>
      <c r="W123">
        <v>89283</v>
      </c>
      <c r="X123">
        <v>97383</v>
      </c>
      <c r="Y123">
        <v>105483</v>
      </c>
      <c r="Z123">
        <v>113583</v>
      </c>
      <c r="AA123">
        <v>121683</v>
      </c>
      <c r="AB123">
        <v>129783</v>
      </c>
    </row>
    <row r="124" spans="1:28" x14ac:dyDescent="0.25">
      <c r="A124" t="s">
        <v>541</v>
      </c>
      <c r="B124">
        <v>626</v>
      </c>
      <c r="C124">
        <v>735</v>
      </c>
      <c r="D124">
        <v>774</v>
      </c>
      <c r="E124">
        <v>863</v>
      </c>
      <c r="F124">
        <v>878</v>
      </c>
      <c r="I124" t="s">
        <v>541</v>
      </c>
      <c r="J124">
        <v>429</v>
      </c>
      <c r="K124">
        <v>504</v>
      </c>
      <c r="L124">
        <v>532</v>
      </c>
      <c r="M124">
        <v>593</v>
      </c>
      <c r="N124">
        <v>602</v>
      </c>
      <c r="P124" t="s">
        <v>387</v>
      </c>
      <c r="Q124">
        <v>41557</v>
      </c>
      <c r="R124">
        <v>61492</v>
      </c>
      <c r="S124">
        <v>68688</v>
      </c>
      <c r="T124">
        <v>86653</v>
      </c>
      <c r="U124">
        <v>94753</v>
      </c>
      <c r="V124">
        <v>102853</v>
      </c>
      <c r="W124">
        <v>110953</v>
      </c>
      <c r="X124">
        <v>119053</v>
      </c>
      <c r="Y124">
        <v>127153</v>
      </c>
      <c r="Z124">
        <v>135253</v>
      </c>
      <c r="AA124">
        <v>143353</v>
      </c>
      <c r="AB124">
        <v>151453</v>
      </c>
    </row>
    <row r="125" spans="1:28" x14ac:dyDescent="0.25">
      <c r="A125" t="s">
        <v>493</v>
      </c>
      <c r="B125">
        <v>679</v>
      </c>
      <c r="C125">
        <v>797</v>
      </c>
      <c r="D125">
        <v>840</v>
      </c>
      <c r="E125">
        <v>936</v>
      </c>
      <c r="F125">
        <v>952</v>
      </c>
      <c r="I125" t="s">
        <v>493</v>
      </c>
      <c r="J125">
        <v>414</v>
      </c>
      <c r="K125">
        <v>487</v>
      </c>
      <c r="L125">
        <v>513</v>
      </c>
      <c r="M125">
        <v>572</v>
      </c>
      <c r="N125">
        <v>581</v>
      </c>
      <c r="P125" t="s">
        <v>388</v>
      </c>
      <c r="Q125">
        <v>42814</v>
      </c>
      <c r="R125">
        <v>53218</v>
      </c>
      <c r="S125">
        <v>60960</v>
      </c>
      <c r="T125">
        <v>74270</v>
      </c>
      <c r="U125">
        <v>82370</v>
      </c>
      <c r="V125">
        <v>90470</v>
      </c>
      <c r="W125">
        <v>98570</v>
      </c>
      <c r="X125">
        <v>106670</v>
      </c>
      <c r="Y125">
        <v>114770</v>
      </c>
      <c r="Z125">
        <v>122870</v>
      </c>
      <c r="AA125">
        <v>130970</v>
      </c>
      <c r="AB125">
        <v>139070</v>
      </c>
    </row>
    <row r="126" spans="1:28" x14ac:dyDescent="0.25">
      <c r="A126" t="s">
        <v>542</v>
      </c>
      <c r="B126">
        <v>533</v>
      </c>
      <c r="C126">
        <v>627</v>
      </c>
      <c r="D126">
        <v>660</v>
      </c>
      <c r="E126">
        <v>736</v>
      </c>
      <c r="F126">
        <v>748</v>
      </c>
      <c r="I126" t="s">
        <v>542</v>
      </c>
      <c r="J126">
        <v>433</v>
      </c>
      <c r="K126">
        <v>508</v>
      </c>
      <c r="L126">
        <v>536</v>
      </c>
      <c r="M126">
        <v>598</v>
      </c>
      <c r="N126">
        <v>607</v>
      </c>
      <c r="P126" t="s">
        <v>389</v>
      </c>
      <c r="Q126">
        <v>40665</v>
      </c>
      <c r="R126">
        <v>51575</v>
      </c>
      <c r="S126">
        <v>53500</v>
      </c>
      <c r="T126">
        <v>64374</v>
      </c>
      <c r="U126">
        <v>72474</v>
      </c>
      <c r="V126">
        <v>80574</v>
      </c>
      <c r="W126">
        <v>88674</v>
      </c>
      <c r="X126">
        <v>96774</v>
      </c>
      <c r="Y126">
        <v>104874</v>
      </c>
      <c r="Z126">
        <v>112974</v>
      </c>
      <c r="AA126">
        <v>121074</v>
      </c>
      <c r="AB126">
        <v>129174</v>
      </c>
    </row>
    <row r="127" spans="1:28" x14ac:dyDescent="0.25">
      <c r="A127" t="s">
        <v>3</v>
      </c>
      <c r="B127">
        <v>801</v>
      </c>
      <c r="C127">
        <v>941</v>
      </c>
      <c r="D127">
        <v>991</v>
      </c>
      <c r="E127">
        <v>1105</v>
      </c>
      <c r="F127">
        <v>1123</v>
      </c>
      <c r="I127" t="s">
        <v>3</v>
      </c>
      <c r="J127">
        <v>491</v>
      </c>
      <c r="K127">
        <v>576</v>
      </c>
      <c r="L127">
        <v>608</v>
      </c>
      <c r="M127">
        <v>677</v>
      </c>
      <c r="N127">
        <v>688</v>
      </c>
      <c r="P127" t="s">
        <v>390</v>
      </c>
      <c r="Q127">
        <v>43160</v>
      </c>
      <c r="R127">
        <v>55057</v>
      </c>
      <c r="S127">
        <v>62202</v>
      </c>
      <c r="T127">
        <v>67315</v>
      </c>
      <c r="U127">
        <v>75415</v>
      </c>
      <c r="V127">
        <v>83515</v>
      </c>
      <c r="W127">
        <v>91615</v>
      </c>
      <c r="X127">
        <v>99715</v>
      </c>
      <c r="Y127">
        <v>107815</v>
      </c>
      <c r="Z127">
        <v>115915</v>
      </c>
      <c r="AA127">
        <v>124015</v>
      </c>
      <c r="AB127">
        <v>132115</v>
      </c>
    </row>
    <row r="128" spans="1:28" x14ac:dyDescent="0.25">
      <c r="A128" t="s">
        <v>543</v>
      </c>
      <c r="B128">
        <v>404</v>
      </c>
      <c r="C128">
        <v>474</v>
      </c>
      <c r="D128">
        <v>499</v>
      </c>
      <c r="E128">
        <v>557</v>
      </c>
      <c r="F128">
        <v>566</v>
      </c>
      <c r="I128" t="s">
        <v>543</v>
      </c>
      <c r="J128">
        <v>464</v>
      </c>
      <c r="K128">
        <v>545</v>
      </c>
      <c r="L128">
        <v>575</v>
      </c>
      <c r="M128">
        <v>641</v>
      </c>
      <c r="N128">
        <v>651</v>
      </c>
      <c r="P128" t="s">
        <v>391</v>
      </c>
      <c r="Q128">
        <v>47439</v>
      </c>
      <c r="R128">
        <v>55210</v>
      </c>
      <c r="S128">
        <v>68848</v>
      </c>
      <c r="T128">
        <v>82078</v>
      </c>
      <c r="U128">
        <v>90178</v>
      </c>
      <c r="V128">
        <v>98278</v>
      </c>
      <c r="W128">
        <v>106378</v>
      </c>
      <c r="X128">
        <v>114478</v>
      </c>
      <c r="Y128">
        <v>122578</v>
      </c>
      <c r="Z128">
        <v>130678</v>
      </c>
      <c r="AA128">
        <v>138778</v>
      </c>
      <c r="AB128">
        <v>146878</v>
      </c>
    </row>
    <row r="129" spans="1:28" x14ac:dyDescent="0.25">
      <c r="A129" t="s">
        <v>544</v>
      </c>
      <c r="B129">
        <v>620</v>
      </c>
      <c r="C129">
        <v>728</v>
      </c>
      <c r="D129">
        <v>767</v>
      </c>
      <c r="E129">
        <v>855</v>
      </c>
      <c r="F129">
        <v>870</v>
      </c>
      <c r="I129" t="s">
        <v>544</v>
      </c>
      <c r="J129">
        <v>420</v>
      </c>
      <c r="K129">
        <v>494</v>
      </c>
      <c r="L129">
        <v>520</v>
      </c>
      <c r="M129">
        <v>580</v>
      </c>
      <c r="N129">
        <v>589</v>
      </c>
      <c r="P129" t="s">
        <v>392</v>
      </c>
      <c r="Q129">
        <v>46896</v>
      </c>
      <c r="R129">
        <v>61607</v>
      </c>
      <c r="S129">
        <v>76864</v>
      </c>
      <c r="T129">
        <v>83785</v>
      </c>
      <c r="U129">
        <v>91885</v>
      </c>
      <c r="V129">
        <v>99985</v>
      </c>
      <c r="W129">
        <v>108085</v>
      </c>
      <c r="X129">
        <v>116185</v>
      </c>
      <c r="Y129">
        <v>124285</v>
      </c>
      <c r="Z129">
        <v>132385</v>
      </c>
      <c r="AA129">
        <v>140485</v>
      </c>
      <c r="AB129">
        <v>148585</v>
      </c>
    </row>
    <row r="130" spans="1:28" x14ac:dyDescent="0.25">
      <c r="A130" t="s">
        <v>545</v>
      </c>
      <c r="B130">
        <v>562</v>
      </c>
      <c r="C130">
        <v>661</v>
      </c>
      <c r="D130">
        <v>696</v>
      </c>
      <c r="E130">
        <v>776</v>
      </c>
      <c r="F130">
        <v>789</v>
      </c>
      <c r="I130" t="s">
        <v>545</v>
      </c>
      <c r="J130">
        <v>470</v>
      </c>
      <c r="K130">
        <v>551</v>
      </c>
      <c r="L130">
        <v>581</v>
      </c>
      <c r="M130">
        <v>648</v>
      </c>
      <c r="N130">
        <v>658</v>
      </c>
      <c r="P130" t="s">
        <v>393</v>
      </c>
      <c r="Q130">
        <v>39238</v>
      </c>
      <c r="R130">
        <v>50548</v>
      </c>
      <c r="S130">
        <v>53532</v>
      </c>
      <c r="T130">
        <v>61388</v>
      </c>
      <c r="U130">
        <v>69488</v>
      </c>
      <c r="V130">
        <v>77588</v>
      </c>
      <c r="W130">
        <v>85688</v>
      </c>
      <c r="X130">
        <v>93788</v>
      </c>
      <c r="Y130">
        <v>101888</v>
      </c>
      <c r="Z130">
        <v>109988</v>
      </c>
      <c r="AA130">
        <v>118088</v>
      </c>
      <c r="AB130">
        <v>126188</v>
      </c>
    </row>
    <row r="131" spans="1:28" x14ac:dyDescent="0.25">
      <c r="A131" t="s">
        <v>546</v>
      </c>
      <c r="B131">
        <v>796</v>
      </c>
      <c r="C131">
        <v>935</v>
      </c>
      <c r="D131">
        <v>986</v>
      </c>
      <c r="E131">
        <v>1099</v>
      </c>
      <c r="F131">
        <v>1117</v>
      </c>
      <c r="I131" t="s">
        <v>546</v>
      </c>
      <c r="J131">
        <v>420</v>
      </c>
      <c r="K131">
        <v>493</v>
      </c>
      <c r="L131">
        <v>519</v>
      </c>
      <c r="M131">
        <v>579</v>
      </c>
      <c r="N131">
        <v>588</v>
      </c>
      <c r="P131" t="s">
        <v>394</v>
      </c>
      <c r="Q131">
        <v>38071</v>
      </c>
      <c r="R131">
        <v>57188</v>
      </c>
      <c r="S131">
        <v>65829</v>
      </c>
      <c r="T131">
        <v>73960</v>
      </c>
      <c r="U131">
        <v>82060</v>
      </c>
      <c r="V131">
        <v>90160</v>
      </c>
      <c r="W131">
        <v>98260</v>
      </c>
      <c r="X131">
        <v>106360</v>
      </c>
      <c r="Y131">
        <v>114460</v>
      </c>
      <c r="Z131">
        <v>122560</v>
      </c>
      <c r="AA131">
        <v>130660</v>
      </c>
      <c r="AB131">
        <v>138760</v>
      </c>
    </row>
    <row r="132" spans="1:28" x14ac:dyDescent="0.25">
      <c r="A132" t="s">
        <v>547</v>
      </c>
      <c r="B132">
        <v>712</v>
      </c>
      <c r="C132">
        <v>836</v>
      </c>
      <c r="D132">
        <v>881</v>
      </c>
      <c r="E132">
        <v>983</v>
      </c>
      <c r="F132">
        <v>998</v>
      </c>
      <c r="I132" t="s">
        <v>547</v>
      </c>
      <c r="J132">
        <v>436</v>
      </c>
      <c r="K132">
        <v>513</v>
      </c>
      <c r="L132">
        <v>540</v>
      </c>
      <c r="M132">
        <v>602</v>
      </c>
      <c r="N132">
        <v>612</v>
      </c>
      <c r="P132" t="s">
        <v>395</v>
      </c>
      <c r="Q132">
        <v>39891</v>
      </c>
      <c r="R132">
        <v>48617</v>
      </c>
      <c r="S132">
        <v>55080</v>
      </c>
      <c r="T132">
        <v>65038</v>
      </c>
      <c r="U132">
        <v>73138</v>
      </c>
      <c r="V132">
        <v>81238</v>
      </c>
      <c r="W132">
        <v>89338</v>
      </c>
      <c r="X132">
        <v>97438</v>
      </c>
      <c r="Y132">
        <v>105538</v>
      </c>
      <c r="Z132">
        <v>113638</v>
      </c>
      <c r="AA132">
        <v>121738</v>
      </c>
      <c r="AB132">
        <v>129838</v>
      </c>
    </row>
    <row r="133" spans="1:28" x14ac:dyDescent="0.25">
      <c r="A133" t="s">
        <v>548</v>
      </c>
      <c r="B133">
        <v>453</v>
      </c>
      <c r="C133">
        <v>533</v>
      </c>
      <c r="D133">
        <v>561</v>
      </c>
      <c r="E133">
        <v>626</v>
      </c>
      <c r="F133">
        <v>636</v>
      </c>
      <c r="I133" t="s">
        <v>548</v>
      </c>
      <c r="J133">
        <v>557</v>
      </c>
      <c r="K133">
        <v>653</v>
      </c>
      <c r="L133">
        <v>689</v>
      </c>
      <c r="M133">
        <v>768</v>
      </c>
      <c r="N133">
        <v>780</v>
      </c>
      <c r="P133" t="s">
        <v>396</v>
      </c>
      <c r="Q133">
        <v>41225</v>
      </c>
      <c r="R133">
        <v>55895</v>
      </c>
      <c r="S133">
        <v>60503</v>
      </c>
      <c r="T133">
        <v>67296</v>
      </c>
      <c r="U133">
        <v>75396</v>
      </c>
      <c r="V133">
        <v>83496</v>
      </c>
      <c r="W133">
        <v>91596</v>
      </c>
      <c r="X133">
        <v>99696</v>
      </c>
      <c r="Y133">
        <v>107796</v>
      </c>
      <c r="Z133">
        <v>115896</v>
      </c>
      <c r="AA133">
        <v>123996</v>
      </c>
      <c r="AB133">
        <v>132096</v>
      </c>
    </row>
    <row r="134" spans="1:28" x14ac:dyDescent="0.25">
      <c r="A134" t="s">
        <v>549</v>
      </c>
      <c r="B134">
        <v>536</v>
      </c>
      <c r="C134">
        <v>630</v>
      </c>
      <c r="D134">
        <v>663</v>
      </c>
      <c r="E134">
        <v>740</v>
      </c>
      <c r="F134">
        <v>752</v>
      </c>
      <c r="I134" t="s">
        <v>549</v>
      </c>
      <c r="J134">
        <v>491</v>
      </c>
      <c r="K134">
        <v>576</v>
      </c>
      <c r="L134">
        <v>608</v>
      </c>
      <c r="M134">
        <v>677</v>
      </c>
      <c r="N134">
        <v>688</v>
      </c>
      <c r="P134" t="s">
        <v>397</v>
      </c>
      <c r="Q134">
        <v>50976</v>
      </c>
      <c r="R134">
        <v>56089</v>
      </c>
      <c r="S134">
        <v>63430</v>
      </c>
      <c r="T134">
        <v>66590</v>
      </c>
      <c r="U134">
        <v>74690</v>
      </c>
      <c r="V134">
        <v>82790</v>
      </c>
      <c r="W134">
        <v>90890</v>
      </c>
      <c r="X134">
        <v>98990</v>
      </c>
      <c r="Y134">
        <v>107090</v>
      </c>
      <c r="Z134">
        <v>115190</v>
      </c>
      <c r="AA134">
        <v>123290</v>
      </c>
      <c r="AB134">
        <v>131390</v>
      </c>
    </row>
    <row r="135" spans="1:28" x14ac:dyDescent="0.25">
      <c r="A135" t="s">
        <v>550</v>
      </c>
      <c r="B135">
        <v>823</v>
      </c>
      <c r="C135">
        <v>966</v>
      </c>
      <c r="D135">
        <v>1018</v>
      </c>
      <c r="E135">
        <v>1136</v>
      </c>
      <c r="F135">
        <v>1154</v>
      </c>
      <c r="I135" t="s">
        <v>550</v>
      </c>
      <c r="J135">
        <v>413</v>
      </c>
      <c r="K135">
        <v>485</v>
      </c>
      <c r="L135">
        <v>511</v>
      </c>
      <c r="M135">
        <v>569</v>
      </c>
      <c r="N135">
        <v>578</v>
      </c>
      <c r="P135" t="s">
        <v>398</v>
      </c>
      <c r="Q135">
        <v>46019</v>
      </c>
      <c r="R135">
        <v>61702</v>
      </c>
      <c r="S135">
        <v>67774</v>
      </c>
      <c r="T135">
        <v>85750</v>
      </c>
      <c r="U135">
        <v>93850</v>
      </c>
      <c r="V135">
        <v>101950</v>
      </c>
      <c r="W135">
        <v>110050</v>
      </c>
      <c r="X135">
        <v>118150</v>
      </c>
      <c r="Y135">
        <v>126250</v>
      </c>
      <c r="Z135">
        <v>134350</v>
      </c>
      <c r="AA135">
        <v>142450</v>
      </c>
      <c r="AB135">
        <v>150550</v>
      </c>
    </row>
    <row r="136" spans="1:28" x14ac:dyDescent="0.25">
      <c r="A136" t="s">
        <v>551</v>
      </c>
      <c r="B136">
        <v>488</v>
      </c>
      <c r="C136">
        <v>573</v>
      </c>
      <c r="D136">
        <v>604</v>
      </c>
      <c r="E136">
        <v>673</v>
      </c>
      <c r="F136">
        <v>684</v>
      </c>
      <c r="I136" t="s">
        <v>551</v>
      </c>
      <c r="J136">
        <v>504</v>
      </c>
      <c r="K136">
        <v>592</v>
      </c>
      <c r="L136">
        <v>623</v>
      </c>
      <c r="M136">
        <v>695</v>
      </c>
      <c r="N136">
        <v>706</v>
      </c>
      <c r="P136" t="s">
        <v>399</v>
      </c>
      <c r="Q136">
        <v>53328</v>
      </c>
      <c r="R136">
        <v>65930</v>
      </c>
      <c r="S136">
        <v>77585</v>
      </c>
      <c r="T136">
        <v>91661</v>
      </c>
      <c r="U136">
        <v>99761</v>
      </c>
      <c r="V136">
        <v>107861</v>
      </c>
      <c r="W136">
        <v>115961</v>
      </c>
      <c r="X136">
        <v>124061</v>
      </c>
      <c r="Y136">
        <v>132161</v>
      </c>
      <c r="Z136">
        <v>140261</v>
      </c>
      <c r="AA136">
        <v>148361</v>
      </c>
      <c r="AB136">
        <v>156461</v>
      </c>
    </row>
    <row r="137" spans="1:28" x14ac:dyDescent="0.25">
      <c r="A137" t="s">
        <v>552</v>
      </c>
      <c r="B137">
        <v>479</v>
      </c>
      <c r="C137">
        <v>563</v>
      </c>
      <c r="D137">
        <v>593</v>
      </c>
      <c r="E137">
        <v>661</v>
      </c>
      <c r="F137">
        <v>672</v>
      </c>
      <c r="I137" t="s">
        <v>552</v>
      </c>
      <c r="J137">
        <v>432</v>
      </c>
      <c r="K137">
        <v>507</v>
      </c>
      <c r="L137">
        <v>535</v>
      </c>
      <c r="M137">
        <v>596</v>
      </c>
      <c r="N137">
        <v>606</v>
      </c>
      <c r="P137" t="s">
        <v>400</v>
      </c>
      <c r="Q137">
        <v>52724</v>
      </c>
      <c r="R137">
        <v>65123</v>
      </c>
      <c r="S137">
        <v>71289</v>
      </c>
      <c r="T137">
        <v>83270</v>
      </c>
      <c r="U137">
        <v>91370</v>
      </c>
      <c r="V137">
        <v>99470</v>
      </c>
      <c r="W137">
        <v>107570</v>
      </c>
      <c r="X137">
        <v>115670</v>
      </c>
      <c r="Y137">
        <v>123770</v>
      </c>
      <c r="Z137">
        <v>131870</v>
      </c>
      <c r="AA137">
        <v>139970</v>
      </c>
      <c r="AB137">
        <v>148070</v>
      </c>
    </row>
    <row r="138" spans="1:28" x14ac:dyDescent="0.25">
      <c r="A138" t="s">
        <v>553</v>
      </c>
      <c r="B138">
        <v>584</v>
      </c>
      <c r="C138">
        <v>687</v>
      </c>
      <c r="D138">
        <v>723</v>
      </c>
      <c r="E138">
        <v>806</v>
      </c>
      <c r="F138">
        <v>820</v>
      </c>
      <c r="I138" t="s">
        <v>553</v>
      </c>
      <c r="J138">
        <v>434</v>
      </c>
      <c r="K138">
        <v>509</v>
      </c>
      <c r="L138">
        <v>537</v>
      </c>
      <c r="M138">
        <v>599</v>
      </c>
      <c r="N138">
        <v>608</v>
      </c>
      <c r="P138" t="s">
        <v>401</v>
      </c>
      <c r="Q138">
        <v>41499</v>
      </c>
      <c r="R138">
        <v>44536</v>
      </c>
      <c r="S138">
        <v>54790</v>
      </c>
      <c r="T138">
        <v>66756</v>
      </c>
      <c r="U138">
        <v>74856</v>
      </c>
      <c r="V138">
        <v>82956</v>
      </c>
      <c r="W138">
        <v>91056</v>
      </c>
      <c r="X138">
        <v>99156</v>
      </c>
      <c r="Y138">
        <v>107256</v>
      </c>
      <c r="Z138">
        <v>115356</v>
      </c>
      <c r="AA138">
        <v>123456</v>
      </c>
      <c r="AB138">
        <v>131556</v>
      </c>
    </row>
    <row r="139" spans="1:28" x14ac:dyDescent="0.25">
      <c r="A139" t="s">
        <v>554</v>
      </c>
      <c r="B139">
        <v>744</v>
      </c>
      <c r="C139">
        <v>875</v>
      </c>
      <c r="D139">
        <v>921</v>
      </c>
      <c r="E139">
        <v>1027</v>
      </c>
      <c r="F139">
        <v>1044</v>
      </c>
      <c r="I139" t="s">
        <v>554</v>
      </c>
      <c r="J139">
        <v>451</v>
      </c>
      <c r="K139">
        <v>529</v>
      </c>
      <c r="L139">
        <v>558</v>
      </c>
      <c r="M139">
        <v>622</v>
      </c>
      <c r="N139">
        <v>632</v>
      </c>
      <c r="P139" t="s">
        <v>402</v>
      </c>
      <c r="Q139">
        <v>43661</v>
      </c>
      <c r="R139">
        <v>58668</v>
      </c>
      <c r="S139">
        <v>65775</v>
      </c>
      <c r="T139">
        <v>81296</v>
      </c>
      <c r="U139">
        <v>89396</v>
      </c>
      <c r="V139">
        <v>97496</v>
      </c>
      <c r="W139">
        <v>105596</v>
      </c>
      <c r="X139">
        <v>113696</v>
      </c>
      <c r="Y139">
        <v>121796</v>
      </c>
      <c r="Z139">
        <v>129896</v>
      </c>
      <c r="AA139">
        <v>137996</v>
      </c>
      <c r="AB139">
        <v>146096</v>
      </c>
    </row>
    <row r="140" spans="1:28" x14ac:dyDescent="0.25">
      <c r="A140" t="s">
        <v>555</v>
      </c>
      <c r="B140">
        <v>506</v>
      </c>
      <c r="C140">
        <v>594</v>
      </c>
      <c r="D140">
        <v>626</v>
      </c>
      <c r="E140">
        <v>698</v>
      </c>
      <c r="F140">
        <v>710</v>
      </c>
      <c r="I140" t="s">
        <v>555</v>
      </c>
      <c r="J140">
        <v>475</v>
      </c>
      <c r="K140">
        <v>558</v>
      </c>
      <c r="L140">
        <v>588</v>
      </c>
      <c r="M140">
        <v>655</v>
      </c>
      <c r="N140">
        <v>665</v>
      </c>
      <c r="P140" t="s">
        <v>403</v>
      </c>
      <c r="Q140">
        <v>45336</v>
      </c>
      <c r="R140">
        <v>63193</v>
      </c>
      <c r="S140">
        <v>73688</v>
      </c>
      <c r="T140">
        <v>78733</v>
      </c>
      <c r="U140">
        <v>86833</v>
      </c>
      <c r="V140">
        <v>94933</v>
      </c>
      <c r="W140">
        <v>103033</v>
      </c>
      <c r="X140">
        <v>111133</v>
      </c>
      <c r="Y140">
        <v>119233</v>
      </c>
      <c r="Z140">
        <v>127333</v>
      </c>
      <c r="AA140">
        <v>135433</v>
      </c>
      <c r="AB140">
        <v>143533</v>
      </c>
    </row>
    <row r="141" spans="1:28" x14ac:dyDescent="0.25">
      <c r="A141" t="s">
        <v>556</v>
      </c>
      <c r="B141">
        <v>720</v>
      </c>
      <c r="C141">
        <v>845</v>
      </c>
      <c r="D141">
        <v>891</v>
      </c>
      <c r="E141">
        <v>993</v>
      </c>
      <c r="F141">
        <v>1009</v>
      </c>
      <c r="I141" t="s">
        <v>556</v>
      </c>
      <c r="J141">
        <v>474</v>
      </c>
      <c r="K141">
        <v>557</v>
      </c>
      <c r="L141">
        <v>586</v>
      </c>
      <c r="M141">
        <v>654</v>
      </c>
      <c r="N141">
        <v>665</v>
      </c>
    </row>
    <row r="142" spans="1:28" x14ac:dyDescent="0.25">
      <c r="A142" t="s">
        <v>557</v>
      </c>
      <c r="B142">
        <v>666</v>
      </c>
      <c r="C142">
        <v>782</v>
      </c>
      <c r="D142">
        <v>824</v>
      </c>
      <c r="E142">
        <v>919</v>
      </c>
      <c r="F142">
        <v>934</v>
      </c>
      <c r="I142" t="s">
        <v>557</v>
      </c>
      <c r="J142">
        <v>435</v>
      </c>
      <c r="K142">
        <v>511</v>
      </c>
      <c r="L142">
        <v>538</v>
      </c>
      <c r="M142">
        <v>600</v>
      </c>
      <c r="N142">
        <v>609</v>
      </c>
    </row>
    <row r="143" spans="1:28" x14ac:dyDescent="0.25">
      <c r="A143" t="s">
        <v>558</v>
      </c>
      <c r="B143">
        <v>549</v>
      </c>
      <c r="C143">
        <v>645</v>
      </c>
      <c r="D143">
        <v>680</v>
      </c>
      <c r="E143">
        <v>758</v>
      </c>
      <c r="F143">
        <v>771</v>
      </c>
      <c r="I143" t="s">
        <v>558</v>
      </c>
      <c r="J143">
        <v>539</v>
      </c>
      <c r="K143">
        <v>633</v>
      </c>
      <c r="L143">
        <v>667</v>
      </c>
      <c r="M143">
        <v>743</v>
      </c>
      <c r="N143">
        <v>755</v>
      </c>
    </row>
    <row r="144" spans="1:28" x14ac:dyDescent="0.25">
      <c r="A144" t="s">
        <v>559</v>
      </c>
      <c r="B144">
        <v>486</v>
      </c>
      <c r="C144">
        <v>571</v>
      </c>
      <c r="D144">
        <v>601</v>
      </c>
      <c r="E144">
        <v>670</v>
      </c>
      <c r="F144">
        <v>681</v>
      </c>
      <c r="I144" t="s">
        <v>559</v>
      </c>
      <c r="J144">
        <v>484</v>
      </c>
      <c r="K144">
        <v>568</v>
      </c>
      <c r="L144">
        <v>599</v>
      </c>
      <c r="M144">
        <v>668</v>
      </c>
      <c r="N144">
        <v>679</v>
      </c>
    </row>
    <row r="145" spans="1:14" x14ac:dyDescent="0.25">
      <c r="A145" t="s">
        <v>560</v>
      </c>
      <c r="B145">
        <v>615</v>
      </c>
      <c r="C145">
        <v>723</v>
      </c>
      <c r="D145">
        <v>761</v>
      </c>
      <c r="E145">
        <v>849</v>
      </c>
      <c r="F145">
        <v>863</v>
      </c>
      <c r="I145" t="s">
        <v>560</v>
      </c>
      <c r="J145">
        <v>466</v>
      </c>
      <c r="K145">
        <v>547</v>
      </c>
      <c r="L145">
        <v>577</v>
      </c>
      <c r="M145">
        <v>643</v>
      </c>
      <c r="N145">
        <v>653</v>
      </c>
    </row>
    <row r="146" spans="1:14" x14ac:dyDescent="0.25">
      <c r="A146" t="s">
        <v>561</v>
      </c>
      <c r="B146">
        <v>566</v>
      </c>
      <c r="C146">
        <v>665</v>
      </c>
      <c r="D146">
        <v>701</v>
      </c>
      <c r="E146">
        <v>781</v>
      </c>
      <c r="F146">
        <v>794</v>
      </c>
      <c r="I146" t="s">
        <v>561</v>
      </c>
      <c r="J146">
        <v>454</v>
      </c>
      <c r="K146">
        <v>533</v>
      </c>
      <c r="L146">
        <v>562</v>
      </c>
      <c r="M146">
        <v>627</v>
      </c>
      <c r="N146">
        <v>636</v>
      </c>
    </row>
    <row r="147" spans="1:14" x14ac:dyDescent="0.25">
      <c r="A147" t="s">
        <v>562</v>
      </c>
      <c r="B147">
        <v>616</v>
      </c>
      <c r="C147">
        <v>724</v>
      </c>
      <c r="D147">
        <v>762</v>
      </c>
      <c r="E147">
        <v>851</v>
      </c>
      <c r="F147">
        <v>864</v>
      </c>
      <c r="I147" t="s">
        <v>562</v>
      </c>
      <c r="J147">
        <v>425</v>
      </c>
      <c r="K147">
        <v>499</v>
      </c>
      <c r="L147">
        <v>526</v>
      </c>
      <c r="M147">
        <v>586</v>
      </c>
      <c r="N147">
        <v>596</v>
      </c>
    </row>
    <row r="148" spans="1:14" x14ac:dyDescent="0.25">
      <c r="A148" t="s">
        <v>571</v>
      </c>
      <c r="B148">
        <v>703</v>
      </c>
      <c r="C148">
        <v>826</v>
      </c>
      <c r="D148">
        <v>870</v>
      </c>
      <c r="E148">
        <v>970</v>
      </c>
      <c r="F148">
        <v>986</v>
      </c>
      <c r="I148" t="s">
        <v>571</v>
      </c>
      <c r="J148">
        <v>465</v>
      </c>
      <c r="K148">
        <v>546</v>
      </c>
      <c r="L148">
        <v>576</v>
      </c>
      <c r="M148">
        <v>642</v>
      </c>
      <c r="N148">
        <v>652</v>
      </c>
    </row>
    <row r="149" spans="1:14" x14ac:dyDescent="0.25">
      <c r="A149" t="s">
        <v>563</v>
      </c>
      <c r="B149">
        <v>1011</v>
      </c>
      <c r="C149">
        <v>1187</v>
      </c>
      <c r="D149">
        <v>1251</v>
      </c>
      <c r="E149">
        <v>1395</v>
      </c>
      <c r="F149">
        <v>1417</v>
      </c>
      <c r="I149" t="s">
        <v>563</v>
      </c>
      <c r="J149">
        <v>456</v>
      </c>
      <c r="K149">
        <v>536</v>
      </c>
      <c r="L149">
        <v>564</v>
      </c>
      <c r="M149">
        <v>629</v>
      </c>
      <c r="N149">
        <v>640</v>
      </c>
    </row>
    <row r="150" spans="1:14" x14ac:dyDescent="0.25">
      <c r="A150" t="s">
        <v>564</v>
      </c>
      <c r="B150">
        <v>469</v>
      </c>
      <c r="C150">
        <v>551</v>
      </c>
      <c r="D150">
        <v>580</v>
      </c>
      <c r="E150">
        <v>647</v>
      </c>
      <c r="F150">
        <v>658</v>
      </c>
      <c r="I150" t="s">
        <v>564</v>
      </c>
      <c r="J150">
        <v>535</v>
      </c>
      <c r="K150">
        <v>628</v>
      </c>
      <c r="L150">
        <v>663</v>
      </c>
      <c r="M150">
        <v>739</v>
      </c>
      <c r="N150">
        <v>750</v>
      </c>
    </row>
    <row r="151" spans="1:14" x14ac:dyDescent="0.25">
      <c r="A151" t="s">
        <v>565</v>
      </c>
      <c r="B151">
        <v>564</v>
      </c>
      <c r="C151">
        <v>662</v>
      </c>
      <c r="D151">
        <v>698</v>
      </c>
      <c r="E151">
        <v>778</v>
      </c>
      <c r="F151">
        <v>790</v>
      </c>
      <c r="I151" t="s">
        <v>565</v>
      </c>
      <c r="J151">
        <v>504</v>
      </c>
      <c r="K151">
        <v>592</v>
      </c>
      <c r="L151">
        <v>624</v>
      </c>
      <c r="M151">
        <v>696</v>
      </c>
      <c r="N151">
        <v>707</v>
      </c>
    </row>
    <row r="152" spans="1:14" x14ac:dyDescent="0.25">
      <c r="A152" t="s">
        <v>566</v>
      </c>
      <c r="B152">
        <v>569</v>
      </c>
      <c r="C152">
        <v>668</v>
      </c>
      <c r="D152">
        <v>704</v>
      </c>
      <c r="E152">
        <v>785</v>
      </c>
      <c r="F152">
        <v>798</v>
      </c>
      <c r="I152" t="s">
        <v>566</v>
      </c>
      <c r="J152">
        <v>467</v>
      </c>
      <c r="K152">
        <v>549</v>
      </c>
      <c r="L152">
        <v>578</v>
      </c>
      <c r="M152">
        <v>645</v>
      </c>
      <c r="N152">
        <v>655</v>
      </c>
    </row>
    <row r="153" spans="1:14" x14ac:dyDescent="0.25">
      <c r="A153" t="s">
        <v>567</v>
      </c>
      <c r="B153">
        <v>782</v>
      </c>
      <c r="C153">
        <v>918</v>
      </c>
      <c r="D153">
        <v>968</v>
      </c>
      <c r="E153">
        <v>1079</v>
      </c>
      <c r="F153">
        <v>1097</v>
      </c>
      <c r="I153" t="s">
        <v>567</v>
      </c>
      <c r="J153">
        <v>440</v>
      </c>
      <c r="K153">
        <v>517</v>
      </c>
      <c r="L153">
        <v>544</v>
      </c>
      <c r="M153">
        <v>607</v>
      </c>
      <c r="N153">
        <v>617</v>
      </c>
    </row>
    <row r="154" spans="1:14" x14ac:dyDescent="0.25">
      <c r="A154" t="s">
        <v>568</v>
      </c>
      <c r="B154">
        <v>532</v>
      </c>
      <c r="C154">
        <v>625</v>
      </c>
      <c r="D154">
        <v>658</v>
      </c>
      <c r="E154">
        <v>734</v>
      </c>
      <c r="F154">
        <v>745</v>
      </c>
      <c r="I154" t="s">
        <v>568</v>
      </c>
      <c r="J154">
        <v>455</v>
      </c>
      <c r="K154">
        <v>534</v>
      </c>
      <c r="L154">
        <v>563</v>
      </c>
      <c r="M154">
        <v>627</v>
      </c>
      <c r="N154">
        <v>638</v>
      </c>
    </row>
    <row r="155" spans="1:14" x14ac:dyDescent="0.25">
      <c r="A155" t="s">
        <v>400</v>
      </c>
      <c r="B155">
        <v>579</v>
      </c>
      <c r="C155">
        <v>681</v>
      </c>
      <c r="D155">
        <v>717</v>
      </c>
      <c r="E155">
        <v>799</v>
      </c>
      <c r="F155">
        <v>812</v>
      </c>
      <c r="I155" t="s">
        <v>400</v>
      </c>
      <c r="J155">
        <v>514</v>
      </c>
      <c r="K155">
        <v>603</v>
      </c>
      <c r="L155">
        <v>636</v>
      </c>
      <c r="M155">
        <v>709</v>
      </c>
      <c r="N155">
        <v>721</v>
      </c>
    </row>
    <row r="156" spans="1:14" x14ac:dyDescent="0.25">
      <c r="A156" t="s">
        <v>569</v>
      </c>
      <c r="B156">
        <v>449</v>
      </c>
      <c r="C156">
        <v>527</v>
      </c>
      <c r="D156">
        <v>556</v>
      </c>
      <c r="E156">
        <v>619</v>
      </c>
      <c r="F156">
        <v>629</v>
      </c>
      <c r="I156" t="s">
        <v>569</v>
      </c>
      <c r="J156">
        <v>538</v>
      </c>
      <c r="K156">
        <v>632</v>
      </c>
      <c r="L156">
        <v>665</v>
      </c>
      <c r="M156">
        <v>742</v>
      </c>
      <c r="N156">
        <v>754</v>
      </c>
    </row>
    <row r="157" spans="1:14" x14ac:dyDescent="0.25">
      <c r="A157" t="s">
        <v>570</v>
      </c>
      <c r="B157">
        <v>496</v>
      </c>
      <c r="C157">
        <v>582</v>
      </c>
      <c r="D157">
        <v>613</v>
      </c>
      <c r="E157">
        <v>684</v>
      </c>
      <c r="F157">
        <v>695</v>
      </c>
      <c r="I157" t="s">
        <v>570</v>
      </c>
      <c r="J157">
        <v>478</v>
      </c>
      <c r="K157">
        <v>562</v>
      </c>
      <c r="L157">
        <v>592</v>
      </c>
      <c r="M157">
        <v>660</v>
      </c>
      <c r="N157">
        <v>671</v>
      </c>
    </row>
  </sheetData>
  <mergeCells count="20">
    <mergeCell ref="AG23:AI23"/>
    <mergeCell ref="AG24:AI24"/>
    <mergeCell ref="AG25:AG26"/>
    <mergeCell ref="AG10:AI10"/>
    <mergeCell ref="AG11:AI11"/>
    <mergeCell ref="AG12:AI12"/>
    <mergeCell ref="AG15:AI15"/>
    <mergeCell ref="AG22:AI22"/>
    <mergeCell ref="S8:S9"/>
    <mergeCell ref="AG6:AI6"/>
    <mergeCell ref="AG7:AI7"/>
    <mergeCell ref="AG8:AI8"/>
    <mergeCell ref="AH9:AI9"/>
    <mergeCell ref="R6:AA6"/>
    <mergeCell ref="T7:U7"/>
    <mergeCell ref="L6:L7"/>
    <mergeCell ref="M6:M7"/>
    <mergeCell ref="N6:P6"/>
    <mergeCell ref="L61:P61"/>
    <mergeCell ref="R8:R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nalysisMenu">
                <anchor moveWithCells="1">
                  <from>
                    <xdr:col>1</xdr:col>
                    <xdr:colOff>447675</xdr:colOff>
                    <xdr:row>1</xdr:row>
                    <xdr:rowOff>114300</xdr:rowOff>
                  </from>
                  <to>
                    <xdr:col>4</xdr:col>
                    <xdr:colOff>381000</xdr:colOff>
                    <xdr:row>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156</vt:i4>
      </vt:variant>
    </vt:vector>
  </HeadingPairs>
  <TitlesOfParts>
    <vt:vector size="197" baseType="lpstr">
      <vt:lpstr>VehiclesOutput</vt:lpstr>
      <vt:lpstr>VehicleLoansOutput</vt:lpstr>
      <vt:lpstr>TaxesOutput</vt:lpstr>
      <vt:lpstr>SecuredCreditorOutputs</vt:lpstr>
      <vt:lpstr>Rent2OwnOutputs</vt:lpstr>
      <vt:lpstr>RealPropertyOutputs</vt:lpstr>
      <vt:lpstr>PersonalPropertyOutputs</vt:lpstr>
      <vt:lpstr>MiscOutput</vt:lpstr>
      <vt:lpstr>MarketingOutputs</vt:lpstr>
      <vt:lpstr>IncomeOutputs</vt:lpstr>
      <vt:lpstr>HousePmtsOutput</vt:lpstr>
      <vt:lpstr>HouseholdGoodsOutputs</vt:lpstr>
      <vt:lpstr>ExpensesOutput</vt:lpstr>
      <vt:lpstr>EmergenciesOutput</vt:lpstr>
      <vt:lpstr>DebtSummaryOutput</vt:lpstr>
      <vt:lpstr>BasicOutput</vt:lpstr>
      <vt:lpstr>BankAccountsOutput</vt:lpstr>
      <vt:lpstr>AnalysisMenu</vt:lpstr>
      <vt:lpstr>Basic</vt:lpstr>
      <vt:lpstr>Alerts</vt:lpstr>
      <vt:lpstr>Arrears</vt:lpstr>
      <vt:lpstr>BackTaxes</vt:lpstr>
      <vt:lpstr>Emergencies</vt:lpstr>
      <vt:lpstr>DebtSummary</vt:lpstr>
      <vt:lpstr>Misc</vt:lpstr>
      <vt:lpstr>Income</vt:lpstr>
      <vt:lpstr>Expenses</vt:lpstr>
      <vt:lpstr>Marketing</vt:lpstr>
      <vt:lpstr>NonDischarge</vt:lpstr>
      <vt:lpstr>Unsecured</vt:lpstr>
      <vt:lpstr>Vehicles</vt:lpstr>
      <vt:lpstr>RealProperty</vt:lpstr>
      <vt:lpstr>Equity</vt:lpstr>
      <vt:lpstr>NonVehicleSecured</vt:lpstr>
      <vt:lpstr>Rent2Own</vt:lpstr>
      <vt:lpstr>ThirteenAnalysis</vt:lpstr>
      <vt:lpstr>Notes</vt:lpstr>
      <vt:lpstr>MeansTest</vt:lpstr>
      <vt:lpstr>Accounting</vt:lpstr>
      <vt:lpstr>JohnsInput</vt:lpstr>
      <vt:lpstr>Tables</vt:lpstr>
      <vt:lpstr>BankAccountsOutput!BankAccountsOutput</vt:lpstr>
      <vt:lpstr>BasicOutput!BankAccountsOutput</vt:lpstr>
      <vt:lpstr>DebtSummaryOutput!BankAccountsOutput</vt:lpstr>
      <vt:lpstr>EmergenciesOutput!BankAccountsOutput</vt:lpstr>
      <vt:lpstr>ExpensesOutput!BankAccountsOutput</vt:lpstr>
      <vt:lpstr>HouseholdGoodsOutputs!BankAccountsOutput</vt:lpstr>
      <vt:lpstr>HousePmtsOutput!BankAccountsOutput</vt:lpstr>
      <vt:lpstr>IncomeOutputs!BankAccountsOutput</vt:lpstr>
      <vt:lpstr>MarketingOutputs!BankAccountsOutput</vt:lpstr>
      <vt:lpstr>MiscOutput!BankAccountsOutput</vt:lpstr>
      <vt:lpstr>PersonalPropertyOutputs!BankAccountsOutput</vt:lpstr>
      <vt:lpstr>RealPropertyOutputs!BankAccountsOutput</vt:lpstr>
      <vt:lpstr>Rent2OwnOutputs!BankAccountsOutput</vt:lpstr>
      <vt:lpstr>SecuredCreditorOutputs!BankAccountsOutput</vt:lpstr>
      <vt:lpstr>TaxesOutput!BankAccountsOutput</vt:lpstr>
      <vt:lpstr>VehicleLoansOutput!BankAccountsOutput</vt:lpstr>
      <vt:lpstr>VehiclesOutput!BankAccountsOutput</vt:lpstr>
      <vt:lpstr>BasicOutput!BasicOutput</vt:lpstr>
      <vt:lpstr>DebtSummaryOutput!BasicOutput</vt:lpstr>
      <vt:lpstr>EmergenciesOutput!BasicOutput</vt:lpstr>
      <vt:lpstr>ExpensesOutput!BasicOutput</vt:lpstr>
      <vt:lpstr>HouseholdGoodsOutputs!BasicOutput</vt:lpstr>
      <vt:lpstr>HousePmtsOutput!BasicOutput</vt:lpstr>
      <vt:lpstr>IncomeOutputs!BasicOutput</vt:lpstr>
      <vt:lpstr>MarketingOutputs!BasicOutput</vt:lpstr>
      <vt:lpstr>MiscOutput!BasicOutput</vt:lpstr>
      <vt:lpstr>PersonalPropertyOutputs!BasicOutput</vt:lpstr>
      <vt:lpstr>RealPropertyOutputs!BasicOutput</vt:lpstr>
      <vt:lpstr>Rent2OwnOutputs!BasicOutput</vt:lpstr>
      <vt:lpstr>SecuredCreditorOutputs!BasicOutput</vt:lpstr>
      <vt:lpstr>TaxesOutput!BasicOutput</vt:lpstr>
      <vt:lpstr>VehicleLoansOutput!BasicOutput</vt:lpstr>
      <vt:lpstr>VehiclesOutput!BasicOutput</vt:lpstr>
      <vt:lpstr>DebtSummaryOutput!DebtSummaryOutput</vt:lpstr>
      <vt:lpstr>EmergenciesOutput!DebtSummaryOutput</vt:lpstr>
      <vt:lpstr>ExpensesOutput!DebtSummaryOutput</vt:lpstr>
      <vt:lpstr>HouseholdGoodsOutputs!DebtSummaryOutput</vt:lpstr>
      <vt:lpstr>HousePmtsOutput!DebtSummaryOutput</vt:lpstr>
      <vt:lpstr>IncomeOutputs!DebtSummaryOutput</vt:lpstr>
      <vt:lpstr>MarketingOutputs!DebtSummaryOutput</vt:lpstr>
      <vt:lpstr>MiscOutput!DebtSummaryOutput</vt:lpstr>
      <vt:lpstr>PersonalPropertyOutputs!DebtSummaryOutput</vt:lpstr>
      <vt:lpstr>RealPropertyOutputs!DebtSummaryOutput</vt:lpstr>
      <vt:lpstr>Rent2OwnOutputs!DebtSummaryOutput</vt:lpstr>
      <vt:lpstr>SecuredCreditorOutputs!DebtSummaryOutput</vt:lpstr>
      <vt:lpstr>TaxesOutput!DebtSummaryOutput</vt:lpstr>
      <vt:lpstr>VehicleLoansOutput!DebtSummaryOutput</vt:lpstr>
      <vt:lpstr>VehiclesOutput!DebtSummaryOutput</vt:lpstr>
      <vt:lpstr>EmergenciesOutput!EmergenciesOutput</vt:lpstr>
      <vt:lpstr>ExpensesOutput!EmergenciesOutput</vt:lpstr>
      <vt:lpstr>HouseholdGoodsOutputs!EmergenciesOutput</vt:lpstr>
      <vt:lpstr>HousePmtsOutput!EmergenciesOutput</vt:lpstr>
      <vt:lpstr>IncomeOutputs!EmergenciesOutput</vt:lpstr>
      <vt:lpstr>MarketingOutputs!EmergenciesOutput</vt:lpstr>
      <vt:lpstr>MiscOutput!EmergenciesOutput</vt:lpstr>
      <vt:lpstr>PersonalPropertyOutputs!EmergenciesOutput</vt:lpstr>
      <vt:lpstr>RealPropertyOutputs!EmergenciesOutput</vt:lpstr>
      <vt:lpstr>Rent2OwnOutputs!EmergenciesOutput</vt:lpstr>
      <vt:lpstr>SecuredCreditorOutputs!EmergenciesOutput</vt:lpstr>
      <vt:lpstr>TaxesOutput!EmergenciesOutput</vt:lpstr>
      <vt:lpstr>VehicleLoansOutput!EmergenciesOutput</vt:lpstr>
      <vt:lpstr>VehiclesOutput!EmergenciesOutput</vt:lpstr>
      <vt:lpstr>ExpensesOutput!ExpensesOutput</vt:lpstr>
      <vt:lpstr>HouseholdGoodsOutputs!ExpensesOutput</vt:lpstr>
      <vt:lpstr>HousePmtsOutput!ExpensesOutput</vt:lpstr>
      <vt:lpstr>IncomeOutputs!ExpensesOutput</vt:lpstr>
      <vt:lpstr>MarketingOutputs!ExpensesOutput</vt:lpstr>
      <vt:lpstr>MiscOutput!ExpensesOutput</vt:lpstr>
      <vt:lpstr>PersonalPropertyOutputs!ExpensesOutput</vt:lpstr>
      <vt:lpstr>RealPropertyOutputs!ExpensesOutput</vt:lpstr>
      <vt:lpstr>Rent2OwnOutputs!ExpensesOutput</vt:lpstr>
      <vt:lpstr>SecuredCreditorOutputs!ExpensesOutput</vt:lpstr>
      <vt:lpstr>TaxesOutput!ExpensesOutput</vt:lpstr>
      <vt:lpstr>VehicleLoansOutput!ExpensesOutput</vt:lpstr>
      <vt:lpstr>VehiclesOutput!ExpensesOutput</vt:lpstr>
      <vt:lpstr>HouseholdGoodsOutputs!HouseholdGoodsOutputs</vt:lpstr>
      <vt:lpstr>HousePmtsOutput!HouseholdGoodsOutputs</vt:lpstr>
      <vt:lpstr>IncomeOutputs!HouseholdGoodsOutputs</vt:lpstr>
      <vt:lpstr>MarketingOutputs!HouseholdGoodsOutputs</vt:lpstr>
      <vt:lpstr>MiscOutput!HouseholdGoodsOutputs</vt:lpstr>
      <vt:lpstr>PersonalPropertyOutputs!HouseholdGoodsOutputs</vt:lpstr>
      <vt:lpstr>RealPropertyOutputs!HouseholdGoodsOutputs</vt:lpstr>
      <vt:lpstr>Rent2OwnOutputs!HouseholdGoodsOutputs</vt:lpstr>
      <vt:lpstr>SecuredCreditorOutputs!HouseholdGoodsOutputs</vt:lpstr>
      <vt:lpstr>TaxesOutput!HouseholdGoodsOutputs</vt:lpstr>
      <vt:lpstr>VehicleLoansOutput!HouseholdGoodsOutputs</vt:lpstr>
      <vt:lpstr>VehiclesOutput!HouseholdGoodsOutputs</vt:lpstr>
      <vt:lpstr>HousePmtsOutput!HousePmtsOutput</vt:lpstr>
      <vt:lpstr>IncomeOutputs!HousePmtsOutput</vt:lpstr>
      <vt:lpstr>MarketingOutputs!HousePmtsOutput</vt:lpstr>
      <vt:lpstr>MiscOutput!HousePmtsOutput</vt:lpstr>
      <vt:lpstr>PersonalPropertyOutputs!HousePmtsOutput</vt:lpstr>
      <vt:lpstr>RealPropertyOutputs!HousePmtsOutput</vt:lpstr>
      <vt:lpstr>Rent2OwnOutputs!HousePmtsOutput</vt:lpstr>
      <vt:lpstr>SecuredCreditorOutputs!HousePmtsOutput</vt:lpstr>
      <vt:lpstr>TaxesOutput!HousePmtsOutput</vt:lpstr>
      <vt:lpstr>VehicleLoansOutput!HousePmtsOutput</vt:lpstr>
      <vt:lpstr>VehiclesOutput!HousePmtsOutput</vt:lpstr>
      <vt:lpstr>IncomeOutputs!IncomeOutputs</vt:lpstr>
      <vt:lpstr>MarketingOutputs!IncomeOutputs</vt:lpstr>
      <vt:lpstr>MiscOutput!IncomeOutputs</vt:lpstr>
      <vt:lpstr>PersonalPropertyOutputs!IncomeOutputs</vt:lpstr>
      <vt:lpstr>RealPropertyOutputs!IncomeOutputs</vt:lpstr>
      <vt:lpstr>Rent2OwnOutputs!IncomeOutputs</vt:lpstr>
      <vt:lpstr>SecuredCreditorOutputs!IncomeOutputs</vt:lpstr>
      <vt:lpstr>TaxesOutput!IncomeOutputs</vt:lpstr>
      <vt:lpstr>VehicleLoansOutput!IncomeOutputs</vt:lpstr>
      <vt:lpstr>VehiclesOutput!IncomeOutputs</vt:lpstr>
      <vt:lpstr>MarketingOutputs!MarketingOutputs</vt:lpstr>
      <vt:lpstr>MiscOutput!MarketingOutputs</vt:lpstr>
      <vt:lpstr>PersonalPropertyOutputs!MarketingOutputs</vt:lpstr>
      <vt:lpstr>RealPropertyOutputs!MarketingOutputs</vt:lpstr>
      <vt:lpstr>Rent2OwnOutputs!MarketingOutputs</vt:lpstr>
      <vt:lpstr>SecuredCreditorOutputs!MarketingOutputs</vt:lpstr>
      <vt:lpstr>TaxesOutput!MarketingOutputs</vt:lpstr>
      <vt:lpstr>VehicleLoansOutput!MarketingOutputs</vt:lpstr>
      <vt:lpstr>VehiclesOutput!MarketingOutputs</vt:lpstr>
      <vt:lpstr>MiscOutput!MiscOutput</vt:lpstr>
      <vt:lpstr>PersonalPropertyOutputs!MiscOutput</vt:lpstr>
      <vt:lpstr>RealPropertyOutputs!MiscOutput</vt:lpstr>
      <vt:lpstr>Rent2OwnOutputs!MiscOutput</vt:lpstr>
      <vt:lpstr>SecuredCreditorOutputs!MiscOutput</vt:lpstr>
      <vt:lpstr>TaxesOutput!MiscOutput</vt:lpstr>
      <vt:lpstr>VehicleLoansOutput!MiscOutput</vt:lpstr>
      <vt:lpstr>VehiclesOutput!MiscOutput</vt:lpstr>
      <vt:lpstr>PersonalPropertyOutputs!PersonalPropertyOutputs</vt:lpstr>
      <vt:lpstr>RealPropertyOutputs!PersonalPropertyOutputs</vt:lpstr>
      <vt:lpstr>Rent2OwnOutputs!PersonalPropertyOutputs</vt:lpstr>
      <vt:lpstr>SecuredCreditorOutputs!PersonalPropertyOutputs</vt:lpstr>
      <vt:lpstr>TaxesOutput!PersonalPropertyOutputs</vt:lpstr>
      <vt:lpstr>VehicleLoansOutput!PersonalPropertyOutputs</vt:lpstr>
      <vt:lpstr>VehiclesOutput!PersonalPropertyOutputs</vt:lpstr>
      <vt:lpstr>Race</vt:lpstr>
      <vt:lpstr>Race2</vt:lpstr>
      <vt:lpstr>RealPropertyOutputs!RealPropertyOutputs</vt:lpstr>
      <vt:lpstr>Rent2OwnOutputs!RealPropertyOutputs</vt:lpstr>
      <vt:lpstr>SecuredCreditorOutputs!RealPropertyOutputs</vt:lpstr>
      <vt:lpstr>TaxesOutput!RealPropertyOutputs</vt:lpstr>
      <vt:lpstr>VehicleLoansOutput!RealPropertyOutputs</vt:lpstr>
      <vt:lpstr>VehiclesOutput!RealPropertyOutputs</vt:lpstr>
      <vt:lpstr>Rent2OwnOutputs!Rent2OwnOutputs</vt:lpstr>
      <vt:lpstr>SecuredCreditorOutputs!Rent2OwnOutputs</vt:lpstr>
      <vt:lpstr>TaxesOutput!Rent2OwnOutputs</vt:lpstr>
      <vt:lpstr>VehicleLoansOutput!Rent2OwnOutputs</vt:lpstr>
      <vt:lpstr>VehiclesOutput!Rent2OwnOutputs</vt:lpstr>
      <vt:lpstr>SecuredCreditorOutputs!SecuredCreditorOutputs</vt:lpstr>
      <vt:lpstr>TaxesOutput!SecuredCreditorOutputs</vt:lpstr>
      <vt:lpstr>VehicleLoansOutput!SecuredCreditorOutputs</vt:lpstr>
      <vt:lpstr>VehiclesOutput!SecuredCreditorOutputs</vt:lpstr>
      <vt:lpstr>TaxesOutput!TaxesOutput</vt:lpstr>
      <vt:lpstr>VehicleLoansOutput!TaxesOutput</vt:lpstr>
      <vt:lpstr>VehiclesOutput!TaxesOutput</vt:lpstr>
      <vt:lpstr>Transporter</vt:lpstr>
      <vt:lpstr>VehicleLoansOutput!VehicleLoansOutput</vt:lpstr>
      <vt:lpstr>VehiclesOutput!VehicleLoansOutput</vt:lpstr>
      <vt:lpstr>VehiclesOutput!VehiclesOutput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2013-12-05T02:15:56Z</dcterms:modified>
</cp:coreProperties>
</file>